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lips" sheetId="3" state="visible" r:id="rId3"/>
    <sheet xmlns:r="http://schemas.openxmlformats.org/officeDocument/2006/relationships" name="Results Lo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Breakdown" sheetId="7" state="visible" r:id="rId7"/>
    <sheet xmlns:r="http://schemas.openxmlformats.org/officeDocument/2006/relationships" name="Confusion Matrix" sheetId="8" state="visible" r:id="rId8"/>
    <sheet xmlns:r="http://schemas.openxmlformats.org/officeDocument/2006/relationships" name="Lists" sheetId="9" state="hidden" r:id="rId9"/>
  </sheets>
  <definedNames>
    <definedName name="_xlnm._FilterDatabase" localSheetId="2" hidden="1">'Clips'!$A$4:$S$154</definedName>
    <definedName name="_xlnm._FilterDatabase" localSheetId="3" hidden="1">'Results Log'!$A$4:$AA$404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2A9D8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b val="1"/>
      <color rgb="FF2A9D8F"/>
      <sz val="12"/>
    </font>
    <font>
      <name val="Arial"/>
      <charset val="1"/>
      <family val="0"/>
      <i val="1"/>
      <color rgb="FF555555"/>
      <sz val="9"/>
    </font>
  </fonts>
  <fills count="7">
    <fill>
      <patternFill/>
    </fill>
    <fill>
      <patternFill patternType="gray125"/>
    </fill>
    <fill>
      <patternFill patternType="solid">
        <fgColor rgb="FFDCE3EC"/>
        <bgColor rgb="FFE0E0E0"/>
      </patternFill>
    </fill>
    <fill>
      <patternFill patternType="solid">
        <fgColor rgb="FFFFF8D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EEF1F5"/>
        <bgColor rgb="FFFFF8DC"/>
      </patternFill>
    </fill>
    <fill>
      <patternFill patternType="solid">
        <fgColor rgb="FFC8E6C9"/>
        <bgColor rgb="FFE0E0E0"/>
      </patternFill>
    </fill>
  </fills>
  <borders count="2">
    <border>
      <left/>
      <right/>
      <top/>
      <bottom/>
      <diagonal/>
    </border>
    <border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center"/>
    </xf>
    <xf numFmtId="164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center" wrapText="1"/>
    </xf>
    <xf numFmtId="1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center"/>
    </xf>
    <xf numFmtId="164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general" vertical="center" wrapText="1"/>
    </xf>
    <xf numFmtId="1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166" fontId="8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E1BEE7"/>
        </patternFill>
      </fill>
    </dxf>
    <dxf>
      <fill>
        <patternFill>
          <bgColor rgb="FFA5D6A7"/>
        </patternFill>
      </fill>
    </dxf>
    <dxf>
      <fill>
        <patternFill>
          <bgColor rgb="FFEF9A9A"/>
        </patternFill>
      </fill>
    </dxf>
    <dxf>
      <fill>
        <patternFill>
          <bgColor rgb="FFFFCC80"/>
        </patternFill>
      </fill>
    </dxf>
    <dxf>
      <fill>
        <patternFill>
          <bgColor rgb="FFFFF59D"/>
        </patternFill>
      </fill>
    </dxf>
    <dxf>
      <fill>
        <patternFill>
          <bgColor rgb="FFE0E0E0"/>
        </patternFill>
      </fill>
    </dxf>
    <dxf>
      <fill>
        <patternFill>
          <bgColor rgb="FFBBDEFB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F5350"/>
        </patternFill>
      </fill>
    </dxf>
    <dxf>
      <font>
        <name val="Arial"/>
        <charset val="1"/>
        <family val="0"/>
        <b val="1"/>
        <color rgb="FF8E44AD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BEE7"/>
      <rgbColor rgb="FF808080"/>
      <rgbColor rgb="FFE0E0E0"/>
      <rgbColor rgb="FF8E44AD"/>
      <rgbColor rgb="FFFFF8DC"/>
      <rgbColor rgb="FFEEF1F5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C"/>
      <rgbColor rgb="FFC8E6C9"/>
      <rgbColor rgb="FFFFF59D"/>
      <rgbColor rgb="FFBBDEFB"/>
      <rgbColor rgb="FFEF9A9A"/>
      <rgbColor rgb="FFFFCDD2"/>
      <rgbColor rgb="FFFFCC80"/>
      <rgbColor rgb="FF3366FF"/>
      <rgbColor rgb="FF33CCCC"/>
      <rgbColor rgb="FF99CC00"/>
      <rgbColor rgb="FFFFE0B2"/>
      <rgbColor rgb="FFFF9900"/>
      <rgbColor rgb="FFEF5350"/>
      <rgbColor rgb="FF555555"/>
      <rgbColor rgb="FFA5D6A7"/>
      <rgbColor rgb="FF003366"/>
      <rgbColor rgb="FF2A9D8F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Unique ID, e.g. SMK-V01.</t>
      </text>
    </comment>
    <comment ref="B4" authorId="0" shapeId="0">
      <text>
        <t>Main violation the clip was planned around.</t>
      </text>
    </comment>
    <comment ref="C4" authorId="0" shapeId="0">
      <text>
        <t>What happens in the clip.</t>
      </text>
    </comment>
    <comment ref="G4" authorId="0" shapeId="0">
      <text>
        <t>Main = shortened thresholds. Validation = real thresholds.</t>
      </text>
    </comment>
    <comment ref="M4" authorId="0" shapeId="0">
      <text>
        <t>Yes once two reviewers checked it.</t>
      </text>
    </comment>
    <comment ref="N4" authorId="0" shapeId="0">
      <text>
        <t>AUTO. Rows typed for this clip in Results Log.</t>
      </text>
    </comment>
    <comment ref="O4" authorId="0" shapeId="0">
      <text>
        <t>All counting alerts the system fired on this clip.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4" authorId="0" shapeId="0">
      <text>
        <t>Clip this row belongs to.</t>
      </text>
    </comment>
    <comment ref="B4" authorId="0" shapeId="0">
      <text>
        <t>Expected = answer-key item typed before detection. Unmatched alert = an alert that matched no answer-key item.</t>
      </text>
    </comment>
    <comment ref="C4" authorId="0" shapeId="0">
      <text>
        <t>For Expected: the violation in the answer key. For Unmatched: the alert's type.</t>
      </text>
    </comment>
    <comment ref="D4" authorId="0" shapeId="0">
      <text>
        <t>Expected rows only: Violation / Look-alike / No violation.</t>
      </text>
    </comment>
    <comment ref="E4" authorId="0" shapeId="0">
      <text>
        <t>1, 2, 3… when the same type happens more than once in a clip.</t>
      </text>
    </comment>
    <comment ref="F4" authorId="0" shapeId="0">
      <text>
        <t>e.g. 'Actor 2, cap' or 'Passing group'.</t>
      </text>
    </comment>
    <comment ref="G4" authorId="0" shapeId="0">
      <text>
        <t>Main or Validation (copied from the clip).</t>
      </text>
    </comment>
    <comment ref="H4" authorId="0" shapeId="0">
      <text>
        <t>When the act starts. Parking: vehicle enters zone. Holdup: rapid approach / knife reveal. Inuman: group formed and drinking.</t>
      </text>
    </comment>
    <comment ref="I4" authorId="0" shapeId="0">
      <text>
        <t>AUTO. Rule-based wait before an alert is allowed: parking threshold or drinking group duration for this Set; 0 otherwise.</t>
      </text>
    </comment>
    <comment ref="J4" authorId="0" shapeId="0">
      <text>
        <t>AUTO. Start + waiting time + alert window.</t>
      </text>
    </comment>
    <comment ref="K4" authorId="0" shapeId="0">
      <text>
        <t>Expected rows: the alert matched to this item (blank = none). Unmatched rows: this alert's ID.</t>
      </text>
    </comment>
    <comment ref="L4" authorId="0" shapeId="0">
      <text>
        <t>When that alert first reached a counting status.</t>
      </text>
    </comment>
    <comment ref="M4" authorId="0" shapeId="0">
      <text>
        <t>Highest status that alert reached.</t>
      </text>
    </comment>
    <comment ref="N4" authorId="0" shapeId="0">
      <text>
        <t>AUTO. Alert time − start − waiting time (Violation rows with a match).</t>
      </text>
    </comment>
    <comment ref="O4" authorId="0" shapeId="0">
      <text>
        <t>AI checker verdict on that alert.</t>
      </text>
    </comment>
    <comment ref="P4" authorId="0" shapeId="0">
      <text>
        <t>Unmatched rows only — reviewer's call after viewing the alert frame.</t>
      </text>
    </comment>
    <comment ref="Q4" authorId="0" shapeId="0">
      <text>
        <t>AUTO. TP/FN/TN/FP for Expected rows; FP/Duplicate/Late/Excluded/Needs tag for Unmatched rows.</t>
      </text>
    </comment>
    <comment ref="R4" authorId="0" shapeId="0">
      <text>
        <t>FN rows: another violation type the system alerted for this act, if any (for the confusion matrix).</t>
      </text>
    </comment>
    <comment ref="S4" authorId="0" shapeId="0">
      <text>
        <t>Copied from the clip.</t>
      </text>
    </comment>
    <comment ref="T4" authorId="0" shapeId="0">
      <text>
        <t>Copied from the clip.</t>
      </text>
    </comment>
    <comment ref="U4" authorId="0" shapeId="0">
      <text>
        <t>Yes if this answer-key row was added or edited after detection ran (transparency).</t>
      </text>
    </comment>
    <comment ref="V4" authorId="0" shapeId="0">
      <text>
        <t>Why an FN or FP happened.</t>
      </text>
    </comment>
    <comment ref="Y4" authorId="0" shapeId="0">
      <text>
        <t>Outcome computed by the tool's own code.</t>
      </text>
    </comment>
    <comment ref="Z4" authorId="0" shapeId="0">
      <text>
        <t>AUTO. OK if tool and sheet agree. MISMATCH = investigate before reporting.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34" min="1" max="1"/>
    <col width="115" customWidth="1" style="34" min="2" max="2"/>
  </cols>
  <sheetData>
    <row r="1" ht="19.7" customHeight="1" s="35">
      <c r="A1" s="36" t="inlineStr">
        <is>
          <t>LookOut — Alpha Testing Results (template)</t>
        </is>
      </c>
    </row>
    <row r="2" ht="15" customHeight="1" s="35">
      <c r="A2" s="37" t="inlineStr">
        <is>
          <t>Filled by the alpha_eval tool. Yellow = input, grey = formula. Never edit formulas.</t>
        </is>
      </c>
    </row>
    <row r="4" ht="15" customHeight="1" s="35">
      <c r="A4" s="38" t="inlineStr">
        <is>
          <t>HOW IT WORKS</t>
        </is>
      </c>
    </row>
    <row r="5" ht="15" customHeight="1" s="35">
      <c r="A5" s="39" t="inlineStr">
        <is>
          <t>1</t>
        </is>
      </c>
      <c r="B5" s="40" t="inlineStr">
        <is>
          <t>Before detection, the answer key is typed for each clip: every violation (type, start time, Violation / Look-alike / No violation).</t>
        </is>
      </c>
    </row>
    <row r="6" ht="15" customHeight="1" s="35">
      <c r="A6" s="39" t="inlineStr">
        <is>
          <t>2</t>
        </is>
      </c>
      <c r="B6" s="40" t="inlineStr">
        <is>
          <t>Detection runs on the WHOLE clip with LookOut's own logic. It never sees the answer key.</t>
        </is>
      </c>
    </row>
    <row r="7" ht="23.85" customHeight="1" s="35">
      <c r="A7" s="39" t="inlineStr">
        <is>
          <t>3</t>
        </is>
      </c>
      <c r="B7" s="40" t="inlineStr">
        <is>
          <t>After detection, the tool matches alerts to answer-key rows. Alerts that match nothing become 'Unmatched alert' rows and a reviewer tags them.</t>
        </is>
      </c>
    </row>
    <row r="8" ht="15" customHeight="1" s="35">
      <c r="A8" s="39" t="inlineStr">
        <is>
          <t>4</t>
        </is>
      </c>
      <c r="B8" s="40" t="inlineStr">
        <is>
          <t>Scores appear automatically. 'Check' compares the tool's score with this sheet's formulas — every MISMATCH must be fixed before reporting.</t>
        </is>
      </c>
    </row>
    <row r="9" ht="15" customHeight="1" s="35">
      <c r="A9" s="39" t="n"/>
      <c r="B9" s="40" t="n"/>
    </row>
    <row r="10" ht="15" customHeight="1" s="35">
      <c r="A10" s="38" t="inlineStr">
        <is>
          <t>WHAT TP / TN / FP / FN MEAN</t>
        </is>
      </c>
    </row>
    <row r="11" ht="15" customHeight="1" s="35">
      <c r="A11" s="39" t="inlineStr">
        <is>
          <t>TP</t>
        </is>
      </c>
      <c r="B11" s="40" t="inlineStr">
        <is>
          <t>True Positive: the test said "yes" and the actual reality was "yes."  (Violation happened → system alerted in time.)</t>
        </is>
      </c>
    </row>
    <row r="12" ht="15" customHeight="1" s="35">
      <c r="A12" s="39" t="inlineStr">
        <is>
          <t>TN</t>
        </is>
      </c>
      <c r="B12" s="40" t="inlineStr">
        <is>
          <t>True Negative: the test said "no" and the actual reality was "no."  (Look-alike / no violation → system stayed quiet.)</t>
        </is>
      </c>
    </row>
    <row r="13" ht="15" customHeight="1" s="35">
      <c r="A13" s="39" t="inlineStr">
        <is>
          <t>FP</t>
        </is>
      </c>
      <c r="B13" s="40" t="inlineStr">
        <is>
          <t>False Positive: the test said "yes" but the actual reality was "no."  (False alarm.)</t>
        </is>
      </c>
    </row>
    <row r="14" ht="15" customHeight="1" s="35">
      <c r="A14" s="39" t="inlineStr">
        <is>
          <t>FN</t>
        </is>
      </c>
      <c r="B14" s="40" t="inlineStr">
        <is>
          <t>False Negative: the test said "no" but the actual reality was "yes."  (Violation missed, too late, or alerted as the wrong type.)</t>
        </is>
      </c>
    </row>
    <row r="15" ht="15" customHeight="1" s="35">
      <c r="A15" s="39" t="n"/>
      <c r="B15" s="40" t="n"/>
    </row>
    <row r="16" ht="15" customHeight="1" s="35">
      <c r="A16" s="38" t="inlineStr">
        <is>
          <t>SCORING RULES</t>
        </is>
      </c>
    </row>
    <row r="17" ht="15" customHeight="1" s="35">
      <c r="A17" s="39" t="inlineStr">
        <is>
          <t>•</t>
        </is>
      </c>
      <c r="B17" s="40" t="inlineStr">
        <is>
          <t>Only alerts that reached Possible or Likely count (Monitoring only if Settings says Yes). Alert time = when it first reached a counting status.</t>
        </is>
      </c>
    </row>
    <row r="18" ht="15" customHeight="1" s="35">
      <c r="A18" s="39" t="inlineStr">
        <is>
          <t>•</t>
        </is>
      </c>
      <c r="B18" s="40" t="inlineStr">
        <is>
          <t>Matching: each answer-key row takes at most one alert of its type; each alert fills at most one row; rows are filled in start-time order.</t>
        </is>
      </c>
    </row>
    <row r="19" ht="15" customHeight="1" s="35">
      <c r="A19" s="39" t="inlineStr">
        <is>
          <t>•</t>
        </is>
      </c>
      <c r="B19" s="40" t="inlineStr">
        <is>
          <t>An alert can match from (start − start tolerance) up to the deadline. Deadline = start + waiting time + alert window (60 s).</t>
        </is>
      </c>
    </row>
    <row r="20" ht="23.85" customHeight="1" s="35">
      <c r="A20" s="39" t="inlineStr">
        <is>
          <t>•</t>
        </is>
      </c>
      <c r="B20" s="40" t="inlineStr">
        <is>
          <t>Waiting time: parking = parking threshold; drinking = inuman group duration; others 0. Main set uses shortened values, Validation set uses real ones.</t>
        </is>
      </c>
    </row>
    <row r="21" ht="15" customHeight="1" s="35">
      <c r="A21" s="39" t="inlineStr">
        <is>
          <t>•</t>
        </is>
      </c>
      <c r="B21" s="40" t="inlineStr">
        <is>
          <t>Violation row: matched in time → TP, otherwise FN.  Look-alike / No-violation row: an alert of that type matched → FP, otherwise TN.</t>
        </is>
      </c>
    </row>
    <row r="22" ht="15" customHeight="1" s="35">
      <c r="A22" s="39" t="inlineStr">
        <is>
          <t>•</t>
        </is>
      </c>
      <c r="B22" s="40" t="inlineStr">
        <is>
          <t>TN only exists for types deliberately tested as look-alike / no violation — never for types that simply didn't appear.</t>
        </is>
      </c>
    </row>
    <row r="23" ht="23.85" customHeight="1" s="35">
      <c r="A23" s="39" t="inlineStr">
        <is>
          <t>•</t>
        </is>
      </c>
      <c r="B23" s="40" t="inlineStr">
        <is>
          <t>Unmatched alert tags: Duplicate (same act alerted again, no FP) · False alarm (actors, FP) · Unscripted – false alarm (bystander, FP) · Unscripted – real violation (excluded, reported separately) · Late (real act alerted after the deadline, no extra FP; the act is already an FN).</t>
        </is>
      </c>
    </row>
    <row r="24" ht="23.85" customHeight="1" s="35">
      <c r="A24" s="39" t="inlineStr">
        <is>
          <t>•</t>
        </is>
      </c>
      <c r="B24" s="40" t="inlineStr">
        <is>
          <t>Action start: parking = vehicle enters the zone; holdup = rapid approach / knife reveal; inuman = group formed and drinking; smoking/drinking = first light/puff/sip.</t>
        </is>
      </c>
    </row>
    <row r="25" ht="15" customHeight="1" s="35">
      <c r="A25" s="39" t="n"/>
      <c r="B25" s="40" t="n"/>
    </row>
    <row r="26" ht="15" customHeight="1" s="35">
      <c r="A26" s="38" t="inlineStr">
        <is>
          <t>EXAMPLE (3-min smoking clip)</t>
        </is>
      </c>
    </row>
    <row r="27" ht="15" customHeight="1" s="35">
      <c r="A27" s="39" t="n"/>
      <c r="B27" s="40" t="inlineStr">
        <is>
          <t>Answer key: Smoking 0:30 (Actor 1), Smoking 1:30 (Actor 2). Alerts: Smoking 0:41, Smoking 1:38, Drinking 1:46 on a passing group.</t>
        </is>
      </c>
    </row>
    <row r="28" ht="15" customHeight="1" s="35">
      <c r="A28" s="39" t="inlineStr">
        <is>
          <t>→</t>
        </is>
      </c>
      <c r="B28" s="40" t="inlineStr">
        <is>
          <t>Row 1 → TP (delay 11 s). Row 2 → TP (delay 8 s). Drinking 1:46 → Unmatched alert, tagged 'Unscripted – false alarm' → Drinking FP.</t>
        </is>
      </c>
    </row>
    <row r="29" ht="15" customHeight="1" s="35">
      <c r="A29" s="39" t="n"/>
      <c r="B29" s="40" t="n"/>
    </row>
    <row r="30" ht="15" customHeight="1" s="35">
      <c r="A30" s="38" t="inlineStr">
        <is>
          <t>SHEETS FOR THE PAPER</t>
        </is>
      </c>
    </row>
    <row r="31" ht="23.85" customHeight="1" s="35">
      <c r="A31" s="39" t="inlineStr">
        <is>
          <t>•</t>
        </is>
      </c>
      <c r="B31" s="40" t="inlineStr">
        <is>
          <t>Summary (main results) · Validation (real thresholds) · Breakdown (distance, time of day, alert level, AI checker, delay, unmatched tags, speed) · Confusion Matrix.</t>
        </is>
      </c>
    </row>
    <row r="32" ht="15" customHeight="1" s="35">
      <c r="A32" s="39" t="n"/>
      <c r="B32" s="40" t="n"/>
    </row>
    <row r="33" ht="15" customHeight="1" s="35">
      <c r="A33" s="38" t="inlineStr">
        <is>
          <t>CELL COLOURS</t>
        </is>
      </c>
    </row>
    <row r="34" ht="23.85" customHeight="1" s="35">
      <c r="A34" s="39" t="n"/>
      <c r="B34" s="40" t="inlineStr">
        <is>
          <t>Yellow = input. Grey = formula. Outcome: green TP/TN, red FP, orange FN, yellow Needs tag / Needs start, grey Duplicate, blue Excluded. Red MISMATCH = tool and sheet disagree.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4" min="1" max="1"/>
    <col width="26" customWidth="1" style="34" min="2" max="2"/>
    <col width="70" customWidth="1" style="34" min="3" max="3"/>
  </cols>
  <sheetData>
    <row r="1" ht="19.7" customHeight="1" s="35">
      <c r="A1" s="36" t="inlineStr">
        <is>
          <t>Test Settings</t>
        </is>
      </c>
    </row>
    <row r="2" ht="15" customHeight="1" s="35">
      <c r="A2" s="37" t="inlineStr">
        <is>
          <t>Filled by the alpha_eval tool (yellow). Scoring formulas read these values. Keep them fixed for the whole test.</t>
        </is>
      </c>
    </row>
    <row r="3"/>
    <row r="4" ht="15" customHeight="1" s="35">
      <c r="A4" s="41" t="inlineStr">
        <is>
          <t>Setting</t>
        </is>
      </c>
      <c r="B4" s="41" t="inlineStr">
        <is>
          <t>Value</t>
        </is>
      </c>
      <c r="C4" s="41" t="inlineStr">
        <is>
          <t>Note</t>
        </is>
      </c>
    </row>
    <row r="5" ht="23.85" customHeight="1" s="35">
      <c r="A5" s="42" t="inlineStr">
        <is>
          <t>Alert window (seconds)</t>
        </is>
      </c>
      <c r="B5" s="43" t="n">
        <v>60</v>
      </c>
      <c r="C5" s="44" t="inlineStr">
        <is>
          <t>Alert must reach a counting status within this many seconds after the act starts (plus any waiting time).</t>
        </is>
      </c>
    </row>
    <row r="6" ht="23.85" customHeight="1" s="35">
      <c r="A6" s="42" t="inlineStr">
        <is>
          <t>Start tolerance (seconds)</t>
        </is>
      </c>
      <c r="B6" s="43" t="n">
        <v>5</v>
      </c>
      <c r="C6" s="44" t="inlineStr">
        <is>
          <t>An alert up to this many seconds BEFORE the typed start can still match (start times are typed by hand).</t>
        </is>
      </c>
    </row>
    <row r="7" ht="15" customHeight="1" s="35">
      <c r="A7" s="42" t="inlineStr">
        <is>
          <t>Count 'Monitoring' as an alert?</t>
        </is>
      </c>
      <c r="B7" s="43" t="inlineStr">
        <is>
          <t>No</t>
        </is>
      </c>
      <c r="C7" s="44" t="inlineStr">
        <is>
          <t>No = only Possible / Likely count.</t>
        </is>
      </c>
    </row>
    <row r="8" ht="15" customHeight="1" s="35">
      <c r="A8" s="42" t="inlineStr">
        <is>
          <t>Parking threshold — Main set (s)</t>
        </is>
      </c>
      <c r="B8" s="43" t="n">
        <v>20</v>
      </c>
      <c r="C8" s="44" t="inlineStr">
        <is>
          <t>Shortened parking threshold used for Main-set clips.</t>
        </is>
      </c>
    </row>
    <row r="9" ht="15" customHeight="1" s="35">
      <c r="A9" s="42" t="inlineStr">
        <is>
          <t>Parking threshold — Validation set (s)</t>
        </is>
      </c>
      <c r="B9" s="43" t="n">
        <v>300</v>
      </c>
      <c r="C9" s="44" t="inlineStr">
        <is>
          <t>Real Ord. No. 601 threshold (5 min), used for Validation-set clips.</t>
        </is>
      </c>
    </row>
    <row r="10" ht="15" customHeight="1" s="35">
      <c r="A10" s="42" t="inlineStr">
        <is>
          <t>Drinking group duration — Main set (s)</t>
        </is>
      </c>
      <c r="B10" s="43" t="n">
        <v>60</v>
      </c>
      <c r="C10" s="44" t="inlineStr">
        <is>
          <t>Shortened inuman duration used for Main-set clips.</t>
        </is>
      </c>
    </row>
    <row r="11" ht="15" customHeight="1" s="35">
      <c r="A11" s="42" t="inlineStr">
        <is>
          <t>Drinking group duration — Validation set (s)</t>
        </is>
      </c>
      <c r="B11" s="43" t="n">
        <v>600</v>
      </c>
      <c r="C11" s="44" t="inlineStr">
        <is>
          <t>Real deployment duration, used for Validation-set clips.</t>
        </is>
      </c>
    </row>
    <row r="12" ht="15" customHeight="1" s="35">
      <c r="A12" s="42" t="inlineStr">
        <is>
          <t>Model version</t>
        </is>
      </c>
      <c r="B12" s="43" t="inlineStr">
        <is>
          <t>merged_v2.pt</t>
        </is>
      </c>
      <c r="C12" s="44" t="inlineStr">
        <is>
          <t>Detection model file.</t>
        </is>
      </c>
    </row>
    <row r="13" ht="15" customHeight="1" s="35">
      <c r="A13" s="42" t="inlineStr">
        <is>
          <t>Model SHA-256</t>
        </is>
      </c>
      <c r="B13" s="43" t="inlineStr">
        <is>
          <t>8e9c77665b243ce8aebe9457ca2bc4f9fd11f09d0d88e406789d42172d2e8bbb</t>
        </is>
      </c>
      <c r="C13" s="44" t="inlineStr">
        <is>
          <t>Filled by the tool.</t>
        </is>
      </c>
    </row>
    <row r="14" ht="15" customHeight="1" s="35">
      <c r="A14" s="42" t="inlineStr">
        <is>
          <t>Scoring spec</t>
        </is>
      </c>
      <c r="B14" s="43" t="inlineStr">
        <is>
          <t>v6.1</t>
        </is>
      </c>
      <c r="C14" s="44" t="inlineStr">
        <is>
          <t>Monitoring / Possible / Likely scoring version.</t>
        </is>
      </c>
    </row>
    <row r="15" ht="15" customHeight="1" s="35">
      <c r="A15" s="42" t="inlineStr">
        <is>
          <t>Smoking dwell (s)</t>
        </is>
      </c>
      <c r="B15" s="43" t="n">
        <v>3</v>
      </c>
      <c r="C15" s="44" t="inlineStr">
        <is>
          <t>From LookOut SystemSettings snapshot.</t>
        </is>
      </c>
    </row>
    <row r="16" ht="15" customHeight="1" s="35">
      <c r="A16" s="42" t="inlineStr">
        <is>
          <t>Other detection settings</t>
        </is>
      </c>
      <c r="B16" s="43" t="inlineStr">
        <is>
          <t>{"parking_enabled":true,"parking_confidence":35,"parking_dwell":60,"parking_move_tolerance":40,"smoking_enabled":true,"smoking_confidence":30,"thief_enabled":true,"thief_confidence":30,"thief_dwell":3,"drinking_enabled":true,"drinking_confidence":35,"drinking_dwell":8,"drinking_hours_enabled":false,"drinking_start":"16:00:00","drinking_end":"00:00:00","drinking_min_group":2,"drinking_group_duration":60,"drinking_held_dwell":24,"drinking_evidence_max_age":12,"drinking_mouth_proximity":3.0,"drinking_cooldown_center_dist":1.5,"vlm_enabled":true,"vlm_endpoint":"http://localhost:11434","vlm_model":"qwen3-vl:2b-instruct","vlm_timeout":120,"vlm_frames":8,"vlm_max_edge":640,"vlm_async":true,"object_confirm_seconds":2.0,"cue_hold_seconds":5.0,"monitoring_min_seconds":3.0,"smoking_puff_count":3,"smoking_puff_window_minutes":5.0,"holdup_loiter_seconds":20,"holdup_near_person_heights":1.75,"vlm_model_holdup":"qwen3-vl:4b-instruct","show_testing_tools":true,"auto_start_detection":false,"alert_cooldown":120,"evidence_retention_days":30,"evidence_auto_purge":false}</t>
        </is>
      </c>
      <c r="C16" s="44" t="inlineStr">
        <is>
          <t>Short JSON of the remaining SystemSettings values used.</t>
        </is>
      </c>
    </row>
    <row r="17" ht="15" customHeight="1" s="35">
      <c r="A17" s="42" t="inlineStr">
        <is>
          <t>Camera</t>
        </is>
      </c>
      <c r="B17" s="43" t="inlineStr">
        <is>
          <t>Hikvision DS-2CD1047G2-LUF</t>
        </is>
      </c>
      <c r="C17" s="44" t="inlineStr">
        <is>
          <t>Installed position, full resolution.</t>
        </is>
      </c>
    </row>
    <row r="18" ht="15" customHeight="1" s="35">
      <c r="A18" s="42" t="inlineStr">
        <is>
          <t>LookOut git commit</t>
        </is>
      </c>
      <c r="B18" s="43" t="inlineStr">
        <is>
          <t>e6af55083d67970ee75f85799553583f15b9fd8f (+dirty)</t>
        </is>
      </c>
      <c r="C18" s="44" t="inlineStr">
        <is>
          <t>Commit hash of lookout_backend (+dirty if uncommitted changes).</t>
        </is>
      </c>
    </row>
    <row r="19" ht="15" customHeight="1" s="35">
      <c r="A19" s="42" t="inlineStr">
        <is>
          <t>alpha_eval tool version</t>
        </is>
      </c>
      <c r="B19" s="43" t="inlineStr">
        <is>
          <t>1.0.0</t>
        </is>
      </c>
      <c r="C19" s="44" t="inlineStr">
        <is>
          <t>Filled by the tool.</t>
        </is>
      </c>
    </row>
    <row r="20" ht="15" customHeight="1" s="35">
      <c r="A20" s="42" t="inlineStr">
        <is>
          <t>Export date</t>
        </is>
      </c>
      <c r="B20" s="43" t="inlineStr">
        <is>
          <t>2026-10-18 00:24</t>
        </is>
      </c>
      <c r="C20" s="44" t="inlineStr">
        <is>
          <t>Filled by the tool.</t>
        </is>
      </c>
    </row>
    <row r="21" ht="15" customHeight="1" s="35">
      <c r="A21" s="42" t="inlineStr">
        <is>
          <t>Results basis</t>
        </is>
      </c>
      <c r="B21" s="43" t="inlineStr">
        <is>
          <t>NOT FINAL (settings not consistent; 1 row(s) need a tag/start) — All finished clips (reviewed or not), latest run per clip</t>
        </is>
      </c>
      <c r="C21" s="44" t="inlineStr">
        <is>
          <t>e.g. 'Reviewed clips only, latest run per clip'.</t>
        </is>
      </c>
    </row>
    <row r="22" ht="15" customHeight="1" s="35">
      <c r="A22" s="42" t="inlineStr">
        <is>
          <t>Settings consistency</t>
        </is>
      </c>
      <c r="B22" s="43" t="inlineStr">
        <is>
          <t>MIXED — overrides_in_memory.parking_threshold_sec, parking_threshold_main_sec (re-run PRK-V01), parking_threshold_main_sec (re-run SMK-V01)</t>
        </is>
      </c>
      <c r="C22" s="44" t="inlineStr">
        <is>
          <t>'CONSISTENT' or 'MIXED — &lt;what differs&gt;'. Don't report MIXED results.</t>
        </is>
      </c>
    </row>
  </sheetData>
  <dataValidations count="1">
    <dataValidation sqref="B7" showDropDown="0" showInputMessage="0" showErrorMessage="0" allowBlank="0" type="list" errorStyle="stop" operator="between">
      <formula1>Lists!$K$1:$K$2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34" min="1" max="1"/>
    <col width="18" customWidth="1" style="34" min="2" max="2"/>
    <col width="48" customWidth="1" style="34" min="3" max="3"/>
    <col width="10" customWidth="1" style="34" min="4" max="4"/>
    <col width="12" customWidth="1" style="34" min="5" max="5"/>
    <col width="11" customWidth="1" style="34" min="6" max="7"/>
    <col width="14" customWidth="1" style="34" min="8" max="8"/>
    <col width="26" customWidth="1" style="34" min="9" max="9"/>
    <col width="13" customWidth="1" style="34" min="10" max="10"/>
    <col width="11" customWidth="1" style="34" min="11" max="11"/>
    <col width="14" customWidth="1" style="34" min="12" max="12"/>
    <col width="10" customWidth="1" style="34" min="13" max="13"/>
    <col width="12" customWidth="1" style="34" min="14" max="14"/>
    <col width="11" customWidth="1" style="34" min="15" max="16"/>
    <col width="12" customWidth="1" style="34" min="17" max="17"/>
    <col width="16" customWidth="1" style="34" min="18" max="18"/>
    <col width="30" customWidth="1" style="34" min="19" max="19"/>
  </cols>
  <sheetData>
    <row r="1" ht="19.7" customHeight="1" s="35">
      <c r="A1" s="36" t="inlineStr">
        <is>
          <t>Clips — one row per video</t>
        </is>
      </c>
    </row>
    <row r="2" ht="15" customHeight="1" s="35">
      <c r="A2" s="37" t="inlineStr">
        <is>
          <t>Planned clips are pre-listed. The tool updates status columns and adds new clips in spare rows. The answer key lives in Results Log.</t>
        </is>
      </c>
    </row>
    <row r="4" ht="36" customHeight="1" s="35">
      <c r="A4" s="45" t="inlineStr">
        <is>
          <t>Clip ID</t>
        </is>
      </c>
      <c r="B4" s="45" t="inlineStr">
        <is>
          <t>Planned focus</t>
        </is>
      </c>
      <c r="C4" s="45" t="inlineStr">
        <is>
          <t>Scenario</t>
        </is>
      </c>
      <c r="D4" s="45" t="inlineStr">
        <is>
          <t>Distance</t>
        </is>
      </c>
      <c r="E4" s="45" t="inlineStr">
        <is>
          <t>Time of day</t>
        </is>
      </c>
      <c r="F4" s="45" t="inlineStr">
        <is>
          <t>Min. length</t>
        </is>
      </c>
      <c r="G4" s="45" t="inlineStr">
        <is>
          <t>Set</t>
        </is>
      </c>
      <c r="H4" s="45" t="inlineStr">
        <is>
          <t>Recording status</t>
        </is>
      </c>
      <c r="I4" s="45" t="inlineStr">
        <is>
          <t>Video filename</t>
        </is>
      </c>
      <c r="J4" s="45" t="inlineStr">
        <is>
          <t>Date recorded</t>
        </is>
      </c>
      <c r="K4" s="45" t="inlineStr">
        <is>
          <t>Duration (s)</t>
        </is>
      </c>
      <c r="L4" s="45" t="inlineStr">
        <is>
          <t>Run status</t>
        </is>
      </c>
      <c r="M4" s="45" t="inlineStr">
        <is>
          <t>Reviewed</t>
        </is>
      </c>
      <c r="N4" s="45" t="inlineStr">
        <is>
          <t>Answer-key rows</t>
        </is>
      </c>
      <c r="O4" s="45" t="inlineStr">
        <is>
          <t>Total alerts</t>
        </is>
      </c>
      <c r="P4" s="45" t="inlineStr">
        <is>
          <t>Processing FPS</t>
        </is>
      </c>
      <c r="Q4" s="45" t="inlineStr">
        <is>
          <t>Processing time (s)</t>
        </is>
      </c>
      <c r="R4" s="45" t="inlineStr">
        <is>
          <t>Run ID</t>
        </is>
      </c>
      <c r="S4" s="45" t="inlineStr">
        <is>
          <t>Notes</t>
        </is>
      </c>
    </row>
    <row r="5" ht="15" customHeight="1" s="35">
      <c r="A5" s="46" t="inlineStr">
        <is>
          <t>SMK-V01</t>
        </is>
      </c>
      <c r="B5" s="42" t="inlineStr">
        <is>
          <t>Smoking</t>
        </is>
      </c>
      <c r="C5" s="44" t="inlineStr">
        <is>
          <t>Standing, smoking, facing the camera</t>
        </is>
      </c>
      <c r="D5" s="43" t="inlineStr">
        <is>
          <t>Near</t>
        </is>
      </c>
      <c r="E5" s="43" t="inlineStr">
        <is>
          <t>Day</t>
        </is>
      </c>
      <c r="F5" s="43" t="inlineStr">
        <is>
          <t>1–2 min</t>
        </is>
      </c>
      <c r="G5" s="43" t="inlineStr">
        <is>
          <t>Main</t>
        </is>
      </c>
      <c r="H5" s="43" t="inlineStr">
        <is>
          <t>Recorded</t>
        </is>
      </c>
      <c r="I5" s="47" t="inlineStr">
        <is>
          <t>test_smoking_trim2.mp4</t>
        </is>
      </c>
      <c r="J5" s="48" t="inlineStr">
        <is>
          <t>2026-08-18</t>
        </is>
      </c>
      <c r="K5" s="43" t="n">
        <v>51.55</v>
      </c>
      <c r="L5" s="43" t="inlineStr">
        <is>
          <t>Done</t>
        </is>
      </c>
      <c r="M5" s="43" t="inlineStr">
        <is>
          <t>Yes</t>
        </is>
      </c>
      <c r="N5" s="49">
        <f>IF(A5="","",COUNTIFS('Results Log'!$A$5:$A$404,A5,'Results Log'!$B$5:$B$404,"Expected"))</f>
        <v/>
      </c>
      <c r="O5" s="50" t="n">
        <v>1</v>
      </c>
      <c r="P5" s="51" t="n">
        <v>1.46</v>
      </c>
      <c r="Q5" s="50" t="n">
        <v>353.5</v>
      </c>
      <c r="R5" s="43" t="inlineStr">
        <is>
          <t>20261017-235836-0b0358</t>
        </is>
      </c>
      <c r="S5" s="52" t="n"/>
    </row>
    <row r="6" ht="15" customHeight="1" s="35">
      <c r="A6" s="46" t="inlineStr">
        <is>
          <t>SMK-V02</t>
        </is>
      </c>
      <c r="B6" s="42" t="inlineStr">
        <is>
          <t>Smoking</t>
        </is>
      </c>
      <c r="C6" s="44" t="inlineStr">
        <is>
          <t>Standing, smoking, side view</t>
        </is>
      </c>
      <c r="D6" s="43" t="inlineStr">
        <is>
          <t>Near</t>
        </is>
      </c>
      <c r="E6" s="43" t="inlineStr">
        <is>
          <t>Day</t>
        </is>
      </c>
      <c r="F6" s="43" t="inlineStr">
        <is>
          <t>1–2 min</t>
        </is>
      </c>
      <c r="G6" s="43" t="inlineStr">
        <is>
          <t>Main</t>
        </is>
      </c>
      <c r="H6" s="43" t="inlineStr">
        <is>
          <t>Not recorded</t>
        </is>
      </c>
      <c r="I6" s="47" t="n"/>
      <c r="J6" s="48" t="n"/>
      <c r="K6" s="43" t="n"/>
      <c r="L6" s="43" t="inlineStr">
        <is>
          <t>Not run</t>
        </is>
      </c>
      <c r="M6" s="43" t="inlineStr">
        <is>
          <t>No</t>
        </is>
      </c>
      <c r="N6" s="49">
        <f>IF(A6="","",COUNTIFS('Results Log'!$A$5:$A$404,A6,'Results Log'!$B$5:$B$404,"Expected"))</f>
        <v/>
      </c>
      <c r="O6" s="50" t="n"/>
      <c r="P6" s="51" t="n"/>
      <c r="Q6" s="50" t="n"/>
      <c r="R6" s="43" t="n"/>
      <c r="S6" s="52" t="n"/>
    </row>
    <row r="7" ht="15" customHeight="1" s="35">
      <c r="A7" s="46" t="inlineStr">
        <is>
          <t>SMK-V03</t>
        </is>
      </c>
      <c r="B7" s="42" t="inlineStr">
        <is>
          <t>Smoking</t>
        </is>
      </c>
      <c r="C7" s="44" t="inlineStr">
        <is>
          <t>Walking slowly while smoking</t>
        </is>
      </c>
      <c r="D7" s="43" t="inlineStr">
        <is>
          <t>Near</t>
        </is>
      </c>
      <c r="E7" s="43" t="inlineStr">
        <is>
          <t>Day</t>
        </is>
      </c>
      <c r="F7" s="43" t="inlineStr">
        <is>
          <t>1–2 min</t>
        </is>
      </c>
      <c r="G7" s="43" t="inlineStr">
        <is>
          <t>Main</t>
        </is>
      </c>
      <c r="H7" s="43" t="inlineStr">
        <is>
          <t>Not recorded</t>
        </is>
      </c>
      <c r="I7" s="47" t="n"/>
      <c r="J7" s="48" t="n"/>
      <c r="K7" s="43" t="n"/>
      <c r="L7" s="43" t="inlineStr">
        <is>
          <t>Not run</t>
        </is>
      </c>
      <c r="M7" s="43" t="inlineStr">
        <is>
          <t>No</t>
        </is>
      </c>
      <c r="N7" s="49">
        <f>IF(A7="","",COUNTIFS('Results Log'!$A$5:$A$404,A7,'Results Log'!$B$5:$B$404,"Expected"))</f>
        <v/>
      </c>
      <c r="O7" s="50" t="n"/>
      <c r="P7" s="51" t="n"/>
      <c r="Q7" s="50" t="n"/>
      <c r="R7" s="43" t="n"/>
      <c r="S7" s="52" t="n"/>
    </row>
    <row r="8" ht="15" customHeight="1" s="35">
      <c r="A8" s="46" t="inlineStr">
        <is>
          <t>SMK-V04</t>
        </is>
      </c>
      <c r="B8" s="42" t="inlineStr">
        <is>
          <t>Smoking</t>
        </is>
      </c>
      <c r="C8" s="44" t="inlineStr">
        <is>
          <t>Seated on bench or curb, smoking</t>
        </is>
      </c>
      <c r="D8" s="43" t="inlineStr">
        <is>
          <t>Near</t>
        </is>
      </c>
      <c r="E8" s="43" t="inlineStr">
        <is>
          <t>Afternoon</t>
        </is>
      </c>
      <c r="F8" s="43" t="inlineStr">
        <is>
          <t>1–2 min</t>
        </is>
      </c>
      <c r="G8" s="43" t="inlineStr">
        <is>
          <t>Main</t>
        </is>
      </c>
      <c r="H8" s="43" t="inlineStr">
        <is>
          <t>Not recorded</t>
        </is>
      </c>
      <c r="I8" s="47" t="n"/>
      <c r="J8" s="48" t="n"/>
      <c r="K8" s="43" t="n"/>
      <c r="L8" s="43" t="inlineStr">
        <is>
          <t>Not run</t>
        </is>
      </c>
      <c r="M8" s="43" t="inlineStr">
        <is>
          <t>No</t>
        </is>
      </c>
      <c r="N8" s="49">
        <f>IF(A8="","",COUNTIFS('Results Log'!$A$5:$A$404,A8,'Results Log'!$B$5:$B$404,"Expected"))</f>
        <v/>
      </c>
      <c r="O8" s="50" t="n"/>
      <c r="P8" s="51" t="n"/>
      <c r="Q8" s="50" t="n"/>
      <c r="R8" s="43" t="n"/>
      <c r="S8" s="52" t="n"/>
    </row>
    <row r="9" ht="15" customHeight="1" s="35">
      <c r="A9" s="46" t="inlineStr">
        <is>
          <t>SMK-V05</t>
        </is>
      </c>
      <c r="B9" s="42" t="inlineStr">
        <is>
          <t>Smoking</t>
        </is>
      </c>
      <c r="C9" s="44" t="inlineStr">
        <is>
          <t>Standing, smoking across the road</t>
        </is>
      </c>
      <c r="D9" s="43" t="inlineStr">
        <is>
          <t>Far</t>
        </is>
      </c>
      <c r="E9" s="43" t="inlineStr">
        <is>
          <t>Day</t>
        </is>
      </c>
      <c r="F9" s="43" t="inlineStr">
        <is>
          <t>1–2 min</t>
        </is>
      </c>
      <c r="G9" s="43" t="inlineStr">
        <is>
          <t>Main</t>
        </is>
      </c>
      <c r="H9" s="43" t="inlineStr">
        <is>
          <t>Not recorded</t>
        </is>
      </c>
      <c r="I9" s="47" t="n"/>
      <c r="J9" s="48" t="n"/>
      <c r="K9" s="43" t="n"/>
      <c r="L9" s="43" t="inlineStr">
        <is>
          <t>Not run</t>
        </is>
      </c>
      <c r="M9" s="43" t="inlineStr">
        <is>
          <t>No</t>
        </is>
      </c>
      <c r="N9" s="49">
        <f>IF(A9="","",COUNTIFS('Results Log'!$A$5:$A$404,A9,'Results Log'!$B$5:$B$404,"Expected"))</f>
        <v/>
      </c>
      <c r="O9" s="50" t="n"/>
      <c r="P9" s="51" t="n"/>
      <c r="Q9" s="50" t="n"/>
      <c r="R9" s="43" t="n"/>
      <c r="S9" s="52" t="n"/>
    </row>
    <row r="10" ht="15" customHeight="1" s="35">
      <c r="A10" s="46" t="inlineStr">
        <is>
          <t>SMK-V06</t>
        </is>
      </c>
      <c r="B10" s="42" t="inlineStr">
        <is>
          <t>Smoking</t>
        </is>
      </c>
      <c r="C10" s="44" t="inlineStr">
        <is>
          <t>Two people smoking together</t>
        </is>
      </c>
      <c r="D10" s="43" t="inlineStr">
        <is>
          <t>Near</t>
        </is>
      </c>
      <c r="E10" s="43" t="inlineStr">
        <is>
          <t>Afternoon</t>
        </is>
      </c>
      <c r="F10" s="43" t="inlineStr">
        <is>
          <t>1–2 min</t>
        </is>
      </c>
      <c r="G10" s="43" t="inlineStr">
        <is>
          <t>Main</t>
        </is>
      </c>
      <c r="H10" s="43" t="inlineStr">
        <is>
          <t>Not recorded</t>
        </is>
      </c>
      <c r="I10" s="47" t="n"/>
      <c r="J10" s="48" t="n"/>
      <c r="K10" s="43" t="n"/>
      <c r="L10" s="43" t="inlineStr">
        <is>
          <t>Not run</t>
        </is>
      </c>
      <c r="M10" s="43" t="inlineStr">
        <is>
          <t>No</t>
        </is>
      </c>
      <c r="N10" s="49">
        <f>IF(A10="","",COUNTIFS('Results Log'!$A$5:$A$404,A10,'Results Log'!$B$5:$B$404,"Expected"))</f>
        <v/>
      </c>
      <c r="O10" s="50" t="n"/>
      <c r="P10" s="51" t="n"/>
      <c r="Q10" s="50" t="n"/>
      <c r="R10" s="43" t="n"/>
      <c r="S10" s="52" t="n"/>
    </row>
    <row r="11" ht="15" customHeight="1" s="35">
      <c r="A11" s="46" t="inlineStr">
        <is>
          <t>SMK-V07</t>
        </is>
      </c>
      <c r="B11" s="42" t="inlineStr">
        <is>
          <t>Smoking</t>
        </is>
      </c>
      <c r="C11" s="44" t="inlineStr">
        <is>
          <t>Smoking while partly turned away from camera</t>
        </is>
      </c>
      <c r="D11" s="43" t="inlineStr">
        <is>
          <t>Mid</t>
        </is>
      </c>
      <c r="E11" s="43" t="inlineStr">
        <is>
          <t>Day</t>
        </is>
      </c>
      <c r="F11" s="43" t="inlineStr">
        <is>
          <t>1–2 min</t>
        </is>
      </c>
      <c r="G11" s="43" t="inlineStr">
        <is>
          <t>Main</t>
        </is>
      </c>
      <c r="H11" s="43" t="inlineStr">
        <is>
          <t>Not recorded</t>
        </is>
      </c>
      <c r="I11" s="47" t="n"/>
      <c r="J11" s="48" t="n"/>
      <c r="K11" s="43" t="n"/>
      <c r="L11" s="43" t="inlineStr">
        <is>
          <t>Not run</t>
        </is>
      </c>
      <c r="M11" s="43" t="inlineStr">
        <is>
          <t>No</t>
        </is>
      </c>
      <c r="N11" s="49">
        <f>IF(A11="","",COUNTIFS('Results Log'!$A$5:$A$404,A11,'Results Log'!$B$5:$B$404,"Expected"))</f>
        <v/>
      </c>
      <c r="O11" s="50" t="n"/>
      <c r="P11" s="51" t="n"/>
      <c r="Q11" s="50" t="n"/>
      <c r="R11" s="43" t="n"/>
      <c r="S11" s="52" t="n"/>
    </row>
    <row r="12" ht="15" customHeight="1" s="35">
      <c r="A12" s="46" t="inlineStr">
        <is>
          <t>SMK-V08</t>
        </is>
      </c>
      <c r="B12" s="42" t="inlineStr">
        <is>
          <t>Smoking</t>
        </is>
      </c>
      <c r="C12" s="44" t="inlineStr">
        <is>
          <t>Standing, smoking</t>
        </is>
      </c>
      <c r="D12" s="43" t="inlineStr">
        <is>
          <t>Near</t>
        </is>
      </c>
      <c r="E12" s="43" t="inlineStr">
        <is>
          <t>Night</t>
        </is>
      </c>
      <c r="F12" s="43" t="inlineStr">
        <is>
          <t>1–2 min</t>
        </is>
      </c>
      <c r="G12" s="43" t="inlineStr">
        <is>
          <t>Main</t>
        </is>
      </c>
      <c r="H12" s="43" t="inlineStr">
        <is>
          <t>Not recorded</t>
        </is>
      </c>
      <c r="I12" s="47" t="n"/>
      <c r="J12" s="48" t="n"/>
      <c r="K12" s="43" t="n"/>
      <c r="L12" s="43" t="inlineStr">
        <is>
          <t>Not run</t>
        </is>
      </c>
      <c r="M12" s="43" t="inlineStr">
        <is>
          <t>No</t>
        </is>
      </c>
      <c r="N12" s="49">
        <f>IF(A12="","",COUNTIFS('Results Log'!$A$5:$A$404,A12,'Results Log'!$B$5:$B$404,"Expected"))</f>
        <v/>
      </c>
      <c r="O12" s="50" t="n"/>
      <c r="P12" s="51" t="n"/>
      <c r="Q12" s="50" t="n"/>
      <c r="R12" s="43" t="n"/>
      <c r="S12" s="52" t="n"/>
    </row>
    <row r="13" ht="15" customHeight="1" s="35">
      <c r="A13" s="46" t="inlineStr">
        <is>
          <t>SMK-V09</t>
        </is>
      </c>
      <c r="B13" s="42" t="inlineStr">
        <is>
          <t>Smoking</t>
        </is>
      </c>
      <c r="C13" s="44" t="inlineStr">
        <is>
          <t>Standing, smoking across the road</t>
        </is>
      </c>
      <c r="D13" s="43" t="inlineStr">
        <is>
          <t>Far</t>
        </is>
      </c>
      <c r="E13" s="43" t="inlineStr">
        <is>
          <t>Night</t>
        </is>
      </c>
      <c r="F13" s="43" t="inlineStr">
        <is>
          <t>1–2 min</t>
        </is>
      </c>
      <c r="G13" s="43" t="inlineStr">
        <is>
          <t>Main</t>
        </is>
      </c>
      <c r="H13" s="43" t="inlineStr">
        <is>
          <t>Not recorded</t>
        </is>
      </c>
      <c r="I13" s="47" t="n"/>
      <c r="J13" s="48" t="n"/>
      <c r="K13" s="43" t="n"/>
      <c r="L13" s="43" t="inlineStr">
        <is>
          <t>Not run</t>
        </is>
      </c>
      <c r="M13" s="43" t="inlineStr">
        <is>
          <t>No</t>
        </is>
      </c>
      <c r="N13" s="49">
        <f>IF(A13="","",COUNTIFS('Results Log'!$A$5:$A$404,A13,'Results Log'!$B$5:$B$404,"Expected"))</f>
        <v/>
      </c>
      <c r="O13" s="50" t="n"/>
      <c r="P13" s="51" t="n"/>
      <c r="Q13" s="50" t="n"/>
      <c r="R13" s="43" t="n"/>
      <c r="S13" s="52" t="n"/>
    </row>
    <row r="14" ht="15" customHeight="1" s="35">
      <c r="A14" s="46" t="inlineStr">
        <is>
          <t>SMK-V10</t>
        </is>
      </c>
      <c r="B14" s="42" t="inlineStr">
        <is>
          <t>Smoking</t>
        </is>
      </c>
      <c r="C14" s="44" t="inlineStr">
        <is>
          <t>Smoking while holding a phone in the other hand</t>
        </is>
      </c>
      <c r="D14" s="43" t="inlineStr">
        <is>
          <t>Mid</t>
        </is>
      </c>
      <c r="E14" s="43" t="inlineStr">
        <is>
          <t>Afternoon</t>
        </is>
      </c>
      <c r="F14" s="43" t="inlineStr">
        <is>
          <t>1–2 min</t>
        </is>
      </c>
      <c r="G14" s="43" t="inlineStr">
        <is>
          <t>Main</t>
        </is>
      </c>
      <c r="H14" s="43" t="inlineStr">
        <is>
          <t>Not recorded</t>
        </is>
      </c>
      <c r="I14" s="47" t="n"/>
      <c r="J14" s="48" t="n"/>
      <c r="K14" s="43" t="n"/>
      <c r="L14" s="43" t="inlineStr">
        <is>
          <t>Not run</t>
        </is>
      </c>
      <c r="M14" s="43" t="inlineStr">
        <is>
          <t>No</t>
        </is>
      </c>
      <c r="N14" s="49">
        <f>IF(A14="","",COUNTIFS('Results Log'!$A$5:$A$404,A14,'Results Log'!$B$5:$B$404,"Expected"))</f>
        <v/>
      </c>
      <c r="O14" s="50" t="n"/>
      <c r="P14" s="51" t="n"/>
      <c r="Q14" s="50" t="n"/>
      <c r="R14" s="43" t="n"/>
      <c r="S14" s="52" t="n"/>
    </row>
    <row r="15" ht="15" customHeight="1" s="35">
      <c r="A15" s="46" t="inlineStr">
        <is>
          <t>SMK-L01</t>
        </is>
      </c>
      <c r="B15" s="42" t="inlineStr">
        <is>
          <t>Smoking</t>
        </is>
      </c>
      <c r="C15" s="44" t="inlineStr">
        <is>
          <t>Holding a pen near the mouth</t>
        </is>
      </c>
      <c r="D15" s="43" t="inlineStr">
        <is>
          <t>Near</t>
        </is>
      </c>
      <c r="E15" s="43" t="inlineStr">
        <is>
          <t>Day</t>
        </is>
      </c>
      <c r="F15" s="43" t="inlineStr">
        <is>
          <t>1–2 min</t>
        </is>
      </c>
      <c r="G15" s="43" t="inlineStr">
        <is>
          <t>Main</t>
        </is>
      </c>
      <c r="H15" s="43" t="inlineStr">
        <is>
          <t>Not recorded</t>
        </is>
      </c>
      <c r="I15" s="47" t="n"/>
      <c r="J15" s="48" t="n"/>
      <c r="K15" s="43" t="n"/>
      <c r="L15" s="43" t="inlineStr">
        <is>
          <t>Not run</t>
        </is>
      </c>
      <c r="M15" s="43" t="inlineStr">
        <is>
          <t>No</t>
        </is>
      </c>
      <c r="N15" s="49">
        <f>IF(A15="","",COUNTIFS('Results Log'!$A$5:$A$404,A15,'Results Log'!$B$5:$B$404,"Expected"))</f>
        <v/>
      </c>
      <c r="O15" s="50" t="n"/>
      <c r="P15" s="51" t="n"/>
      <c r="Q15" s="50" t="n"/>
      <c r="R15" s="43" t="n"/>
      <c r="S15" s="52" t="n"/>
    </row>
    <row r="16" ht="15" customHeight="1" s="35">
      <c r="A16" s="46" t="inlineStr">
        <is>
          <t>SMK-L02</t>
        </is>
      </c>
      <c r="B16" s="42" t="inlineStr">
        <is>
          <t>Smoking</t>
        </is>
      </c>
      <c r="C16" s="44" t="inlineStr">
        <is>
          <t>Phone call, phone held to the face</t>
        </is>
      </c>
      <c r="D16" s="43" t="inlineStr">
        <is>
          <t>Near</t>
        </is>
      </c>
      <c r="E16" s="43" t="inlineStr">
        <is>
          <t>Afternoon</t>
        </is>
      </c>
      <c r="F16" s="43" t="inlineStr">
        <is>
          <t>1–2 min</t>
        </is>
      </c>
      <c r="G16" s="43" t="inlineStr">
        <is>
          <t>Main</t>
        </is>
      </c>
      <c r="H16" s="43" t="inlineStr">
        <is>
          <t>Not recorded</t>
        </is>
      </c>
      <c r="I16" s="47" t="n"/>
      <c r="J16" s="48" t="n"/>
      <c r="K16" s="43" t="n"/>
      <c r="L16" s="43" t="inlineStr">
        <is>
          <t>Not run</t>
        </is>
      </c>
      <c r="M16" s="43" t="inlineStr">
        <is>
          <t>No</t>
        </is>
      </c>
      <c r="N16" s="49">
        <f>IF(A16="","",COUNTIFS('Results Log'!$A$5:$A$404,A16,'Results Log'!$B$5:$B$404,"Expected"))</f>
        <v/>
      </c>
      <c r="O16" s="50" t="n"/>
      <c r="P16" s="51" t="n"/>
      <c r="Q16" s="50" t="n"/>
      <c r="R16" s="43" t="n"/>
      <c r="S16" s="52" t="n"/>
    </row>
    <row r="17" ht="15" customHeight="1" s="35">
      <c r="A17" s="46" t="inlineStr">
        <is>
          <t>SMK-L03</t>
        </is>
      </c>
      <c r="B17" s="42" t="inlineStr">
        <is>
          <t>Smoking</t>
        </is>
      </c>
      <c r="C17" s="44" t="inlineStr">
        <is>
          <t>Eating a stick snack (e.g. fishball / banana cue stick)</t>
        </is>
      </c>
      <c r="D17" s="43" t="inlineStr">
        <is>
          <t>Mid</t>
        </is>
      </c>
      <c r="E17" s="43" t="inlineStr">
        <is>
          <t>Day</t>
        </is>
      </c>
      <c r="F17" s="43" t="inlineStr">
        <is>
          <t>1–2 min</t>
        </is>
      </c>
      <c r="G17" s="43" t="inlineStr">
        <is>
          <t>Main</t>
        </is>
      </c>
      <c r="H17" s="43" t="inlineStr">
        <is>
          <t>Not recorded</t>
        </is>
      </c>
      <c r="I17" s="47" t="n"/>
      <c r="J17" s="48" t="n"/>
      <c r="K17" s="43" t="n"/>
      <c r="L17" s="43" t="inlineStr">
        <is>
          <t>Not run</t>
        </is>
      </c>
      <c r="M17" s="43" t="inlineStr">
        <is>
          <t>No</t>
        </is>
      </c>
      <c r="N17" s="49">
        <f>IF(A17="","",COUNTIFS('Results Log'!$A$5:$A$404,A17,'Results Log'!$B$5:$B$404,"Expected"))</f>
        <v/>
      </c>
      <c r="O17" s="50" t="n"/>
      <c r="P17" s="51" t="n"/>
      <c r="Q17" s="50" t="n"/>
      <c r="R17" s="43" t="n"/>
      <c r="S17" s="52" t="n"/>
    </row>
    <row r="18" ht="15" customHeight="1" s="35">
      <c r="A18" s="46" t="inlineStr">
        <is>
          <t>SMK-L04</t>
        </is>
      </c>
      <c r="B18" s="42" t="inlineStr">
        <is>
          <t>Smoking</t>
        </is>
      </c>
      <c r="C18" s="44" t="inlineStr">
        <is>
          <t>Drinking juice through a straw</t>
        </is>
      </c>
      <c r="D18" s="43" t="inlineStr">
        <is>
          <t>Near</t>
        </is>
      </c>
      <c r="E18" s="43" t="inlineStr">
        <is>
          <t>Day</t>
        </is>
      </c>
      <c r="F18" s="43" t="inlineStr">
        <is>
          <t>1–2 min</t>
        </is>
      </c>
      <c r="G18" s="43" t="inlineStr">
        <is>
          <t>Main</t>
        </is>
      </c>
      <c r="H18" s="43" t="inlineStr">
        <is>
          <t>Not recorded</t>
        </is>
      </c>
      <c r="I18" s="47" t="n"/>
      <c r="J18" s="48" t="n"/>
      <c r="K18" s="43" t="n"/>
      <c r="L18" s="43" t="inlineStr">
        <is>
          <t>Not run</t>
        </is>
      </c>
      <c r="M18" s="43" t="inlineStr">
        <is>
          <t>No</t>
        </is>
      </c>
      <c r="N18" s="49">
        <f>IF(A18="","",COUNTIFS('Results Log'!$A$5:$A$404,A18,'Results Log'!$B$5:$B$404,"Expected"))</f>
        <v/>
      </c>
      <c r="O18" s="50" t="n"/>
      <c r="P18" s="51" t="n"/>
      <c r="Q18" s="50" t="n"/>
      <c r="R18" s="43" t="n"/>
      <c r="S18" s="52" t="n"/>
    </row>
    <row r="19" ht="23.85" customHeight="1" s="35">
      <c r="A19" s="46" t="inlineStr">
        <is>
          <t>SMK-L05</t>
        </is>
      </c>
      <c r="B19" s="42" t="inlineStr">
        <is>
          <t>Smoking</t>
        </is>
      </c>
      <c r="C19" s="44" t="inlineStr">
        <is>
          <t>Hand-to-mouth gestures, no object (scratching chin, wiping mouth)</t>
        </is>
      </c>
      <c r="D19" s="43" t="inlineStr">
        <is>
          <t>Mid</t>
        </is>
      </c>
      <c r="E19" s="43" t="inlineStr">
        <is>
          <t>Night</t>
        </is>
      </c>
      <c r="F19" s="43" t="inlineStr">
        <is>
          <t>1–2 min</t>
        </is>
      </c>
      <c r="G19" s="43" t="inlineStr">
        <is>
          <t>Main</t>
        </is>
      </c>
      <c r="H19" s="43" t="inlineStr">
        <is>
          <t>Not recorded</t>
        </is>
      </c>
      <c r="I19" s="47" t="n"/>
      <c r="J19" s="48" t="n"/>
      <c r="K19" s="43" t="n"/>
      <c r="L19" s="43" t="inlineStr">
        <is>
          <t>Not run</t>
        </is>
      </c>
      <c r="M19" s="43" t="inlineStr">
        <is>
          <t>No</t>
        </is>
      </c>
      <c r="N19" s="49">
        <f>IF(A19="","",COUNTIFS('Results Log'!$A$5:$A$404,A19,'Results Log'!$B$5:$B$404,"Expected"))</f>
        <v/>
      </c>
      <c r="O19" s="50" t="n"/>
      <c r="P19" s="51" t="n"/>
      <c r="Q19" s="50" t="n"/>
      <c r="R19" s="43" t="n"/>
      <c r="S19" s="52" t="n"/>
    </row>
    <row r="20" ht="15" customHeight="1" s="35">
      <c r="A20" s="46" t="inlineStr">
        <is>
          <t>DRK-V01</t>
        </is>
      </c>
      <c r="B20" s="42" t="inlineStr">
        <is>
          <t>Drinking</t>
        </is>
      </c>
      <c r="C20" s="44" t="inlineStr">
        <is>
          <t>Solo, seated, drinking from a bottle</t>
        </is>
      </c>
      <c r="D20" s="43" t="inlineStr">
        <is>
          <t>Near</t>
        </is>
      </c>
      <c r="E20" s="43" t="inlineStr">
        <is>
          <t>Day</t>
        </is>
      </c>
      <c r="F20" s="43" t="inlineStr">
        <is>
          <t>2–3 min</t>
        </is>
      </c>
      <c r="G20" s="43" t="inlineStr">
        <is>
          <t>Main</t>
        </is>
      </c>
      <c r="H20" s="43" t="inlineStr">
        <is>
          <t>Not recorded</t>
        </is>
      </c>
      <c r="I20" s="47" t="n"/>
      <c r="J20" s="48" t="n"/>
      <c r="K20" s="43" t="n"/>
      <c r="L20" s="43" t="inlineStr">
        <is>
          <t>Not run</t>
        </is>
      </c>
      <c r="M20" s="43" t="inlineStr">
        <is>
          <t>No</t>
        </is>
      </c>
      <c r="N20" s="49">
        <f>IF(A20="","",COUNTIFS('Results Log'!$A$5:$A$404,A20,'Results Log'!$B$5:$B$404,"Expected"))</f>
        <v/>
      </c>
      <c r="O20" s="50" t="n"/>
      <c r="P20" s="51" t="n"/>
      <c r="Q20" s="50" t="n"/>
      <c r="R20" s="43" t="n"/>
      <c r="S20" s="52" t="n"/>
    </row>
    <row r="21" ht="15" customHeight="1" s="35">
      <c r="A21" s="46" t="inlineStr">
        <is>
          <t>DRK-V02</t>
        </is>
      </c>
      <c r="B21" s="42" t="inlineStr">
        <is>
          <t>Drinking</t>
        </is>
      </c>
      <c r="C21" s="44" t="inlineStr">
        <is>
          <t>Solo, seated, sipping from a can</t>
        </is>
      </c>
      <c r="D21" s="43" t="inlineStr">
        <is>
          <t>Near</t>
        </is>
      </c>
      <c r="E21" s="43" t="inlineStr">
        <is>
          <t>Afternoon</t>
        </is>
      </c>
      <c r="F21" s="43" t="inlineStr">
        <is>
          <t>2–3 min</t>
        </is>
      </c>
      <c r="G21" s="43" t="inlineStr">
        <is>
          <t>Main</t>
        </is>
      </c>
      <c r="H21" s="43" t="inlineStr">
        <is>
          <t>Not recorded</t>
        </is>
      </c>
      <c r="I21" s="47" t="n"/>
      <c r="J21" s="48" t="n"/>
      <c r="K21" s="43" t="n"/>
      <c r="L21" s="43" t="inlineStr">
        <is>
          <t>Not run</t>
        </is>
      </c>
      <c r="M21" s="43" t="inlineStr">
        <is>
          <t>No</t>
        </is>
      </c>
      <c r="N21" s="49">
        <f>IF(A21="","",COUNTIFS('Results Log'!$A$5:$A$404,A21,'Results Log'!$B$5:$B$404,"Expected"))</f>
        <v/>
      </c>
      <c r="O21" s="50" t="n"/>
      <c r="P21" s="51" t="n"/>
      <c r="Q21" s="50" t="n"/>
      <c r="R21" s="43" t="n"/>
      <c r="S21" s="52" t="n"/>
    </row>
    <row r="22" ht="15" customHeight="1" s="35">
      <c r="A22" s="46" t="inlineStr">
        <is>
          <t>DRK-V03</t>
        </is>
      </c>
      <c r="B22" s="42" t="inlineStr">
        <is>
          <t>Drinking</t>
        </is>
      </c>
      <c r="C22" s="44" t="inlineStr">
        <is>
          <t>Two people seated, drinking (inuman)</t>
        </is>
      </c>
      <c r="D22" s="43" t="inlineStr">
        <is>
          <t>Near</t>
        </is>
      </c>
      <c r="E22" s="43" t="inlineStr">
        <is>
          <t>Night</t>
        </is>
      </c>
      <c r="F22" s="43" t="inlineStr">
        <is>
          <t>2–3 min</t>
        </is>
      </c>
      <c r="G22" s="43" t="inlineStr">
        <is>
          <t>Main</t>
        </is>
      </c>
      <c r="H22" s="43" t="inlineStr">
        <is>
          <t>Not recorded</t>
        </is>
      </c>
      <c r="I22" s="47" t="n"/>
      <c r="J22" s="48" t="n"/>
      <c r="K22" s="43" t="n"/>
      <c r="L22" s="43" t="inlineStr">
        <is>
          <t>Not run</t>
        </is>
      </c>
      <c r="M22" s="43" t="inlineStr">
        <is>
          <t>No</t>
        </is>
      </c>
      <c r="N22" s="49">
        <f>IF(A22="","",COUNTIFS('Results Log'!$A$5:$A$404,A22,'Results Log'!$B$5:$B$404,"Expected"))</f>
        <v/>
      </c>
      <c r="O22" s="50" t="n"/>
      <c r="P22" s="51" t="n"/>
      <c r="Q22" s="50" t="n"/>
      <c r="R22" s="43" t="n"/>
      <c r="S22" s="52" t="n"/>
    </row>
    <row r="23" ht="15" customHeight="1" s="35">
      <c r="A23" s="46" t="inlineStr">
        <is>
          <t>DRK-V04</t>
        </is>
      </c>
      <c r="B23" s="42" t="inlineStr">
        <is>
          <t>Drinking</t>
        </is>
      </c>
      <c r="C23" s="44" t="inlineStr">
        <is>
          <t>3–4 people around a table, inuman</t>
        </is>
      </c>
      <c r="D23" s="43" t="inlineStr">
        <is>
          <t>Mid</t>
        </is>
      </c>
      <c r="E23" s="43" t="inlineStr">
        <is>
          <t>Night</t>
        </is>
      </c>
      <c r="F23" s="43" t="inlineStr">
        <is>
          <t>2–3 min</t>
        </is>
      </c>
      <c r="G23" s="43" t="inlineStr">
        <is>
          <t>Main</t>
        </is>
      </c>
      <c r="H23" s="43" t="inlineStr">
        <is>
          <t>Not recorded</t>
        </is>
      </c>
      <c r="I23" s="47" t="n"/>
      <c r="J23" s="48" t="n"/>
      <c r="K23" s="43" t="n"/>
      <c r="L23" s="43" t="inlineStr">
        <is>
          <t>Not run</t>
        </is>
      </c>
      <c r="M23" s="43" t="inlineStr">
        <is>
          <t>No</t>
        </is>
      </c>
      <c r="N23" s="49">
        <f>IF(A23="","",COUNTIFS('Results Log'!$A$5:$A$404,A23,'Results Log'!$B$5:$B$404,"Expected"))</f>
        <v/>
      </c>
      <c r="O23" s="50" t="n"/>
      <c r="P23" s="51" t="n"/>
      <c r="Q23" s="50" t="n"/>
      <c r="R23" s="43" t="n"/>
      <c r="S23" s="52" t="n"/>
    </row>
    <row r="24" ht="15" customHeight="1" s="35">
      <c r="A24" s="46" t="inlineStr">
        <is>
          <t>DRK-V05</t>
        </is>
      </c>
      <c r="B24" s="42" t="inlineStr">
        <is>
          <t>Drinking</t>
        </is>
      </c>
      <c r="C24" s="44" t="inlineStr">
        <is>
          <t>Group of 3 standing, drinking</t>
        </is>
      </c>
      <c r="D24" s="43" t="inlineStr">
        <is>
          <t>Mid</t>
        </is>
      </c>
      <c r="E24" s="43" t="inlineStr">
        <is>
          <t>Afternoon</t>
        </is>
      </c>
      <c r="F24" s="43" t="inlineStr">
        <is>
          <t>2–3 min</t>
        </is>
      </c>
      <c r="G24" s="43" t="inlineStr">
        <is>
          <t>Main</t>
        </is>
      </c>
      <c r="H24" s="43" t="inlineStr">
        <is>
          <t>Not recorded</t>
        </is>
      </c>
      <c r="I24" s="47" t="n"/>
      <c r="J24" s="48" t="n"/>
      <c r="K24" s="43" t="n"/>
      <c r="L24" s="43" t="inlineStr">
        <is>
          <t>Not run</t>
        </is>
      </c>
      <c r="M24" s="43" t="inlineStr">
        <is>
          <t>No</t>
        </is>
      </c>
      <c r="N24" s="49">
        <f>IF(A24="","",COUNTIFS('Results Log'!$A$5:$A$404,A24,'Results Log'!$B$5:$B$404,"Expected"))</f>
        <v/>
      </c>
      <c r="O24" s="50" t="n"/>
      <c r="P24" s="51" t="n"/>
      <c r="Q24" s="50" t="n"/>
      <c r="R24" s="43" t="n"/>
      <c r="S24" s="52" t="n"/>
    </row>
    <row r="25" ht="15" customHeight="1" s="35">
      <c r="A25" s="46" t="inlineStr">
        <is>
          <t>DRK-V06</t>
        </is>
      </c>
      <c r="B25" s="42" t="inlineStr">
        <is>
          <t>Drinking</t>
        </is>
      </c>
      <c r="C25" s="44" t="inlineStr">
        <is>
          <t>Two people drinking across the road</t>
        </is>
      </c>
      <c r="D25" s="43" t="inlineStr">
        <is>
          <t>Far</t>
        </is>
      </c>
      <c r="E25" s="43" t="inlineStr">
        <is>
          <t>Day</t>
        </is>
      </c>
      <c r="F25" s="43" t="inlineStr">
        <is>
          <t>2–3 min</t>
        </is>
      </c>
      <c r="G25" s="43" t="inlineStr">
        <is>
          <t>Main</t>
        </is>
      </c>
      <c r="H25" s="43" t="inlineStr">
        <is>
          <t>Not recorded</t>
        </is>
      </c>
      <c r="I25" s="47" t="n"/>
      <c r="J25" s="48" t="n"/>
      <c r="K25" s="43" t="n"/>
      <c r="L25" s="43" t="inlineStr">
        <is>
          <t>Not run</t>
        </is>
      </c>
      <c r="M25" s="43" t="inlineStr">
        <is>
          <t>No</t>
        </is>
      </c>
      <c r="N25" s="49">
        <f>IF(A25="","",COUNTIFS('Results Log'!$A$5:$A$404,A25,'Results Log'!$B$5:$B$404,"Expected"))</f>
        <v/>
      </c>
      <c r="O25" s="50" t="n"/>
      <c r="P25" s="51" t="n"/>
      <c r="Q25" s="50" t="n"/>
      <c r="R25" s="43" t="n"/>
      <c r="S25" s="52" t="n"/>
    </row>
    <row r="26" ht="15" customHeight="1" s="35">
      <c r="A26" s="46" t="inlineStr">
        <is>
          <t>DRK-V07</t>
        </is>
      </c>
      <c r="B26" s="42" t="inlineStr">
        <is>
          <t>Drinking</t>
        </is>
      </c>
      <c r="C26" s="44" t="inlineStr">
        <is>
          <t>Group inuman across the road</t>
        </is>
      </c>
      <c r="D26" s="43" t="inlineStr">
        <is>
          <t>Far</t>
        </is>
      </c>
      <c r="E26" s="43" t="inlineStr">
        <is>
          <t>Night</t>
        </is>
      </c>
      <c r="F26" s="43" t="inlineStr">
        <is>
          <t>2–3 min</t>
        </is>
      </c>
      <c r="G26" s="43" t="inlineStr">
        <is>
          <t>Main</t>
        </is>
      </c>
      <c r="H26" s="43" t="inlineStr">
        <is>
          <t>Not recorded</t>
        </is>
      </c>
      <c r="I26" s="47" t="n"/>
      <c r="J26" s="48" t="n"/>
      <c r="K26" s="43" t="n"/>
      <c r="L26" s="43" t="inlineStr">
        <is>
          <t>Not run</t>
        </is>
      </c>
      <c r="M26" s="43" t="inlineStr">
        <is>
          <t>No</t>
        </is>
      </c>
      <c r="N26" s="49">
        <f>IF(A26="","",COUNTIFS('Results Log'!$A$5:$A$404,A26,'Results Log'!$B$5:$B$404,"Expected"))</f>
        <v/>
      </c>
      <c r="O26" s="50" t="n"/>
      <c r="P26" s="51" t="n"/>
      <c r="Q26" s="50" t="n"/>
      <c r="R26" s="43" t="n"/>
      <c r="S26" s="52" t="n"/>
    </row>
    <row r="27" ht="15" customHeight="1" s="35">
      <c r="A27" s="46" t="inlineStr">
        <is>
          <t>DRK-V08</t>
        </is>
      </c>
      <c r="B27" s="42" t="inlineStr">
        <is>
          <t>Drinking</t>
        </is>
      </c>
      <c r="C27" s="44" t="inlineStr">
        <is>
          <t>Solo, standing still, drinking from a bottle</t>
        </is>
      </c>
      <c r="D27" s="43" t="inlineStr">
        <is>
          <t>Mid</t>
        </is>
      </c>
      <c r="E27" s="43" t="inlineStr">
        <is>
          <t>Day</t>
        </is>
      </c>
      <c r="F27" s="43" t="inlineStr">
        <is>
          <t>2–3 min</t>
        </is>
      </c>
      <c r="G27" s="43" t="inlineStr">
        <is>
          <t>Main</t>
        </is>
      </c>
      <c r="H27" s="43" t="inlineStr">
        <is>
          <t>Not recorded</t>
        </is>
      </c>
      <c r="I27" s="47" t="n"/>
      <c r="J27" s="48" t="n"/>
      <c r="K27" s="43" t="n"/>
      <c r="L27" s="43" t="inlineStr">
        <is>
          <t>Not run</t>
        </is>
      </c>
      <c r="M27" s="43" t="inlineStr">
        <is>
          <t>No</t>
        </is>
      </c>
      <c r="N27" s="49">
        <f>IF(A27="","",COUNTIFS('Results Log'!$A$5:$A$404,A27,'Results Log'!$B$5:$B$404,"Expected"))</f>
        <v/>
      </c>
      <c r="O27" s="50" t="n"/>
      <c r="P27" s="51" t="n"/>
      <c r="Q27" s="50" t="n"/>
      <c r="R27" s="43" t="n"/>
      <c r="S27" s="52" t="n"/>
    </row>
    <row r="28" ht="15" customHeight="1" s="35">
      <c r="A28" s="46" t="inlineStr">
        <is>
          <t>DRK-V09</t>
        </is>
      </c>
      <c r="B28" s="42" t="inlineStr">
        <is>
          <t>Drinking</t>
        </is>
      </c>
      <c r="C28" s="44" t="inlineStr">
        <is>
          <t>Group passing one glass/bottle around (tagay)</t>
        </is>
      </c>
      <c r="D28" s="43" t="inlineStr">
        <is>
          <t>Near</t>
        </is>
      </c>
      <c r="E28" s="43" t="inlineStr">
        <is>
          <t>Night</t>
        </is>
      </c>
      <c r="F28" s="43" t="inlineStr">
        <is>
          <t>2–3 min</t>
        </is>
      </c>
      <c r="G28" s="43" t="inlineStr">
        <is>
          <t>Main</t>
        </is>
      </c>
      <c r="H28" s="43" t="inlineStr">
        <is>
          <t>Not recorded</t>
        </is>
      </c>
      <c r="I28" s="47" t="n"/>
      <c r="J28" s="48" t="n"/>
      <c r="K28" s="43" t="n"/>
      <c r="L28" s="43" t="inlineStr">
        <is>
          <t>Not run</t>
        </is>
      </c>
      <c r="M28" s="43" t="inlineStr">
        <is>
          <t>No</t>
        </is>
      </c>
      <c r="N28" s="49">
        <f>IF(A28="","",COUNTIFS('Results Log'!$A$5:$A$404,A28,'Results Log'!$B$5:$B$404,"Expected"))</f>
        <v/>
      </c>
      <c r="O28" s="50" t="n"/>
      <c r="P28" s="51" t="n"/>
      <c r="Q28" s="50" t="n"/>
      <c r="R28" s="43" t="n"/>
      <c r="S28" s="52" t="n"/>
    </row>
    <row r="29" ht="15" customHeight="1" s="35">
      <c r="A29" s="46" t="inlineStr">
        <is>
          <t>DRK-V10</t>
        </is>
      </c>
      <c r="B29" s="42" t="inlineStr">
        <is>
          <t>Drinking</t>
        </is>
      </c>
      <c r="C29" s="44" t="inlineStr">
        <is>
          <t>Group with bottles on the table, occasional sips</t>
        </is>
      </c>
      <c r="D29" s="43" t="inlineStr">
        <is>
          <t>Mid</t>
        </is>
      </c>
      <c r="E29" s="43" t="inlineStr">
        <is>
          <t>Afternoon</t>
        </is>
      </c>
      <c r="F29" s="43" t="inlineStr">
        <is>
          <t>2–3 min</t>
        </is>
      </c>
      <c r="G29" s="43" t="inlineStr">
        <is>
          <t>Main</t>
        </is>
      </c>
      <c r="H29" s="43" t="inlineStr">
        <is>
          <t>Not recorded</t>
        </is>
      </c>
      <c r="I29" s="47" t="n"/>
      <c r="J29" s="48" t="n"/>
      <c r="K29" s="43" t="n"/>
      <c r="L29" s="43" t="inlineStr">
        <is>
          <t>Not run</t>
        </is>
      </c>
      <c r="M29" s="43" t="inlineStr">
        <is>
          <t>No</t>
        </is>
      </c>
      <c r="N29" s="49">
        <f>IF(A29="","",COUNTIFS('Results Log'!$A$5:$A$404,A29,'Results Log'!$B$5:$B$404,"Expected"))</f>
        <v/>
      </c>
      <c r="O29" s="50" t="n"/>
      <c r="P29" s="51" t="n"/>
      <c r="Q29" s="50" t="n"/>
      <c r="R29" s="43" t="n"/>
      <c r="S29" s="52" t="n"/>
    </row>
    <row r="30" ht="15" customHeight="1" s="35">
      <c r="A30" s="46" t="inlineStr">
        <is>
          <t>DRK-L01</t>
        </is>
      </c>
      <c r="B30" s="42" t="inlineStr">
        <is>
          <t>Drinking</t>
        </is>
      </c>
      <c r="C30" s="44" t="inlineStr">
        <is>
          <t>Walking past with a closed water bottle</t>
        </is>
      </c>
      <c r="D30" s="43" t="inlineStr">
        <is>
          <t>Near</t>
        </is>
      </c>
      <c r="E30" s="43" t="inlineStr">
        <is>
          <t>Day</t>
        </is>
      </c>
      <c r="F30" s="43" t="inlineStr">
        <is>
          <t>2–3 min</t>
        </is>
      </c>
      <c r="G30" s="43" t="inlineStr">
        <is>
          <t>Main</t>
        </is>
      </c>
      <c r="H30" s="43" t="inlineStr">
        <is>
          <t>Not recorded</t>
        </is>
      </c>
      <c r="I30" s="47" t="n"/>
      <c r="J30" s="48" t="n"/>
      <c r="K30" s="43" t="n"/>
      <c r="L30" s="43" t="inlineStr">
        <is>
          <t>Not run</t>
        </is>
      </c>
      <c r="M30" s="43" t="inlineStr">
        <is>
          <t>No</t>
        </is>
      </c>
      <c r="N30" s="49">
        <f>IF(A30="","",COUNTIFS('Results Log'!$A$5:$A$404,A30,'Results Log'!$B$5:$B$404,"Expected"))</f>
        <v/>
      </c>
      <c r="O30" s="50" t="n"/>
      <c r="P30" s="51" t="n"/>
      <c r="Q30" s="50" t="n"/>
      <c r="R30" s="43" t="n"/>
      <c r="S30" s="52" t="n"/>
    </row>
    <row r="31" ht="23.85" customHeight="1" s="35">
      <c r="A31" s="46" t="inlineStr">
        <is>
          <t>DRK-L02</t>
        </is>
      </c>
      <c r="B31" s="42" t="inlineStr">
        <is>
          <t>Drinking</t>
        </is>
      </c>
      <c r="C31" s="44" t="inlineStr">
        <is>
          <t>Group drinking bottled water near the building (Tetuan spot)</t>
        </is>
      </c>
      <c r="D31" s="43" t="inlineStr">
        <is>
          <t>Mid</t>
        </is>
      </c>
      <c r="E31" s="43" t="inlineStr">
        <is>
          <t>Afternoon</t>
        </is>
      </c>
      <c r="F31" s="43" t="inlineStr">
        <is>
          <t>2–3 min</t>
        </is>
      </c>
      <c r="G31" s="43" t="inlineStr">
        <is>
          <t>Main</t>
        </is>
      </c>
      <c r="H31" s="43" t="inlineStr">
        <is>
          <t>Not recorded</t>
        </is>
      </c>
      <c r="I31" s="47" t="n"/>
      <c r="J31" s="48" t="n"/>
      <c r="K31" s="43" t="n"/>
      <c r="L31" s="43" t="inlineStr">
        <is>
          <t>Not run</t>
        </is>
      </c>
      <c r="M31" s="43" t="inlineStr">
        <is>
          <t>No</t>
        </is>
      </c>
      <c r="N31" s="49">
        <f>IF(A31="","",COUNTIFS('Results Log'!$A$5:$A$404,A31,'Results Log'!$B$5:$B$404,"Expected"))</f>
        <v/>
      </c>
      <c r="O31" s="50" t="n"/>
      <c r="P31" s="51" t="n"/>
      <c r="Q31" s="50" t="n"/>
      <c r="R31" s="43" t="n"/>
      <c r="S31" s="52" t="n"/>
    </row>
    <row r="32" ht="15" customHeight="1" s="35">
      <c r="A32" s="46" t="inlineStr">
        <is>
          <t>DRK-L03</t>
        </is>
      </c>
      <c r="B32" s="42" t="inlineStr">
        <is>
          <t>Drinking</t>
        </is>
      </c>
      <c r="C32" s="44" t="inlineStr">
        <is>
          <t>Walking while sipping a soft drink (not stopping)</t>
        </is>
      </c>
      <c r="D32" s="43" t="inlineStr">
        <is>
          <t>Near</t>
        </is>
      </c>
      <c r="E32" s="43" t="inlineStr">
        <is>
          <t>Day</t>
        </is>
      </c>
      <c r="F32" s="43" t="inlineStr">
        <is>
          <t>2–3 min</t>
        </is>
      </c>
      <c r="G32" s="43" t="inlineStr">
        <is>
          <t>Main</t>
        </is>
      </c>
      <c r="H32" s="43" t="inlineStr">
        <is>
          <t>Not recorded</t>
        </is>
      </c>
      <c r="I32" s="47" t="n"/>
      <c r="J32" s="48" t="n"/>
      <c r="K32" s="43" t="n"/>
      <c r="L32" s="43" t="inlineStr">
        <is>
          <t>Not run</t>
        </is>
      </c>
      <c r="M32" s="43" t="inlineStr">
        <is>
          <t>No</t>
        </is>
      </c>
      <c r="N32" s="49">
        <f>IF(A32="","",COUNTIFS('Results Log'!$A$5:$A$404,A32,'Results Log'!$B$5:$B$404,"Expected"))</f>
        <v/>
      </c>
      <c r="O32" s="50" t="n"/>
      <c r="P32" s="51" t="n"/>
      <c r="Q32" s="50" t="n"/>
      <c r="R32" s="43" t="n"/>
      <c r="S32" s="52" t="n"/>
    </row>
    <row r="33" ht="15" customHeight="1" s="35">
      <c r="A33" s="46" t="inlineStr">
        <is>
          <t>DRK-L04</t>
        </is>
      </c>
      <c r="B33" s="42" t="inlineStr">
        <is>
          <t>Drinking</t>
        </is>
      </c>
      <c r="C33" s="44" t="inlineStr">
        <is>
          <t>Vendor carrying a crate of bottles past the camera</t>
        </is>
      </c>
      <c r="D33" s="43" t="inlineStr">
        <is>
          <t>Mid</t>
        </is>
      </c>
      <c r="E33" s="43" t="inlineStr">
        <is>
          <t>Day</t>
        </is>
      </c>
      <c r="F33" s="43" t="inlineStr">
        <is>
          <t>2–3 min</t>
        </is>
      </c>
      <c r="G33" s="43" t="inlineStr">
        <is>
          <t>Main</t>
        </is>
      </c>
      <c r="H33" s="43" t="inlineStr">
        <is>
          <t>Not recorded</t>
        </is>
      </c>
      <c r="I33" s="47" t="n"/>
      <c r="J33" s="48" t="n"/>
      <c r="K33" s="43" t="n"/>
      <c r="L33" s="43" t="inlineStr">
        <is>
          <t>Not run</t>
        </is>
      </c>
      <c r="M33" s="43" t="inlineStr">
        <is>
          <t>No</t>
        </is>
      </c>
      <c r="N33" s="49">
        <f>IF(A33="","",COUNTIFS('Results Log'!$A$5:$A$404,A33,'Results Log'!$B$5:$B$404,"Expected"))</f>
        <v/>
      </c>
      <c r="O33" s="50" t="n"/>
      <c r="P33" s="51" t="n"/>
      <c r="Q33" s="50" t="n"/>
      <c r="R33" s="43" t="n"/>
      <c r="S33" s="52" t="n"/>
    </row>
    <row r="34" ht="23.85" customHeight="1" s="35">
      <c r="A34" s="46" t="inlineStr">
        <is>
          <t>DRK-L05</t>
        </is>
      </c>
      <c r="B34" s="42" t="inlineStr">
        <is>
          <t>Drinking</t>
        </is>
      </c>
      <c r="C34" s="44" t="inlineStr">
        <is>
          <t>Two people chatting with water bottles, shorter than group duration</t>
        </is>
      </c>
      <c r="D34" s="43" t="inlineStr">
        <is>
          <t>Near</t>
        </is>
      </c>
      <c r="E34" s="43" t="inlineStr">
        <is>
          <t>Night</t>
        </is>
      </c>
      <c r="F34" s="43" t="inlineStr">
        <is>
          <t>2–3 min</t>
        </is>
      </c>
      <c r="G34" s="43" t="inlineStr">
        <is>
          <t>Main</t>
        </is>
      </c>
      <c r="H34" s="43" t="inlineStr">
        <is>
          <t>Not recorded</t>
        </is>
      </c>
      <c r="I34" s="47" t="n"/>
      <c r="J34" s="48" t="n"/>
      <c r="K34" s="43" t="n"/>
      <c r="L34" s="43" t="inlineStr">
        <is>
          <t>Not run</t>
        </is>
      </c>
      <c r="M34" s="43" t="inlineStr">
        <is>
          <t>No</t>
        </is>
      </c>
      <c r="N34" s="49">
        <f>IF(A34="","",COUNTIFS('Results Log'!$A$5:$A$404,A34,'Results Log'!$B$5:$B$404,"Expected"))</f>
        <v/>
      </c>
      <c r="O34" s="50" t="n"/>
      <c r="P34" s="51" t="n"/>
      <c r="Q34" s="50" t="n"/>
      <c r="R34" s="43" t="n"/>
      <c r="S34" s="52" t="n"/>
    </row>
    <row r="35" ht="15" customHeight="1" s="35">
      <c r="A35" s="46" t="inlineStr">
        <is>
          <t>PRK-V01</t>
        </is>
      </c>
      <c r="B35" s="42" t="inlineStr">
        <is>
          <t>Parking Obstruction</t>
        </is>
      </c>
      <c r="C35" s="44" t="inlineStr">
        <is>
          <t>Car parked over the road edge</t>
        </is>
      </c>
      <c r="D35" s="43" t="inlineStr">
        <is>
          <t>Mid</t>
        </is>
      </c>
      <c r="E35" s="43" t="inlineStr">
        <is>
          <t>Day</t>
        </is>
      </c>
      <c r="F35" s="43" t="inlineStr">
        <is>
          <t>6–7 min</t>
        </is>
      </c>
      <c r="G35" s="43" t="inlineStr">
        <is>
          <t>Main</t>
        </is>
      </c>
      <c r="H35" s="43" t="inlineStr">
        <is>
          <t>Recorded</t>
        </is>
      </c>
      <c r="I35" s="47" t="inlineStr">
        <is>
          <t>test_parking.mp4</t>
        </is>
      </c>
      <c r="J35" s="48" t="inlineStr">
        <is>
          <t>2026-08-14</t>
        </is>
      </c>
      <c r="K35" s="43" t="n">
        <v>96.33</v>
      </c>
      <c r="L35" s="43" t="inlineStr">
        <is>
          <t>Done</t>
        </is>
      </c>
      <c r="M35" s="43" t="inlineStr">
        <is>
          <t>No</t>
        </is>
      </c>
      <c r="N35" s="49">
        <f>IF(A35="","",COUNTIFS('Results Log'!$A$5:$A$404,A35,'Results Log'!$B$5:$B$404,"Expected"))</f>
        <v/>
      </c>
      <c r="O35" s="50" t="n">
        <v>1</v>
      </c>
      <c r="P35" s="51" t="n">
        <v>2.19</v>
      </c>
      <c r="Q35" s="50" t="n">
        <v>440.2</v>
      </c>
      <c r="R35" s="43" t="inlineStr">
        <is>
          <t>20261017-234601-13cb6a</t>
        </is>
      </c>
      <c r="S35" s="52" t="n"/>
    </row>
    <row r="36" ht="15" customHeight="1" s="35">
      <c r="A36" s="46" t="inlineStr">
        <is>
          <t>PRK-V02</t>
        </is>
      </c>
      <c r="B36" s="42" t="inlineStr">
        <is>
          <t>Parking Obstruction</t>
        </is>
      </c>
      <c r="C36" s="44" t="inlineStr">
        <is>
          <t>Motorcycle parked over the road edge</t>
        </is>
      </c>
      <c r="D36" s="43" t="inlineStr">
        <is>
          <t>Mid</t>
        </is>
      </c>
      <c r="E36" s="43" t="inlineStr">
        <is>
          <t>Day</t>
        </is>
      </c>
      <c r="F36" s="43" t="inlineStr">
        <is>
          <t>6–7 min</t>
        </is>
      </c>
      <c r="G36" s="43" t="inlineStr">
        <is>
          <t>Main</t>
        </is>
      </c>
      <c r="H36" s="43" t="inlineStr">
        <is>
          <t>Recorded</t>
        </is>
      </c>
      <c r="I36" s="47" t="inlineStr">
        <is>
          <t>test_parking2.mp4</t>
        </is>
      </c>
      <c r="J36" s="48" t="inlineStr">
        <is>
          <t>2026-08-17</t>
        </is>
      </c>
      <c r="K36" s="43" t="n">
        <v>59.17</v>
      </c>
      <c r="L36" s="43" t="inlineStr">
        <is>
          <t>Done</t>
        </is>
      </c>
      <c r="M36" s="43" t="inlineStr">
        <is>
          <t>No</t>
        </is>
      </c>
      <c r="N36" s="49">
        <f>IF(A36="","",COUNTIFS('Results Log'!$A$5:$A$404,A36,'Results Log'!$B$5:$B$404,"Expected"))</f>
        <v/>
      </c>
      <c r="O36" s="50" t="n">
        <v>1</v>
      </c>
      <c r="P36" s="51" t="n">
        <v>1.87</v>
      </c>
      <c r="Q36" s="50" t="n">
        <v>316.9</v>
      </c>
      <c r="R36" s="43" t="inlineStr">
        <is>
          <t>20261018-001825-c75439</t>
        </is>
      </c>
      <c r="S36" s="52" t="n"/>
    </row>
    <row r="37" ht="15" customHeight="1" s="35">
      <c r="A37" s="46" t="inlineStr">
        <is>
          <t>PRK-V03</t>
        </is>
      </c>
      <c r="B37" s="42" t="inlineStr">
        <is>
          <t>Parking Obstruction</t>
        </is>
      </c>
      <c r="C37" s="44" t="inlineStr">
        <is>
          <t>Tricycle parked over the road edge</t>
        </is>
      </c>
      <c r="D37" s="43" t="inlineStr">
        <is>
          <t>Mid</t>
        </is>
      </c>
      <c r="E37" s="43" t="inlineStr">
        <is>
          <t>Afternoon</t>
        </is>
      </c>
      <c r="F37" s="43" t="inlineStr">
        <is>
          <t>6–7 min</t>
        </is>
      </c>
      <c r="G37" s="43" t="inlineStr">
        <is>
          <t>Main</t>
        </is>
      </c>
      <c r="H37" s="43" t="inlineStr">
        <is>
          <t>Not recorded</t>
        </is>
      </c>
      <c r="I37" s="47" t="n"/>
      <c r="J37" s="48" t="n"/>
      <c r="K37" s="43" t="n"/>
      <c r="L37" s="43" t="inlineStr">
        <is>
          <t>Not run</t>
        </is>
      </c>
      <c r="M37" s="43" t="inlineStr">
        <is>
          <t>No</t>
        </is>
      </c>
      <c r="N37" s="49">
        <f>IF(A37="","",COUNTIFS('Results Log'!$A$5:$A$404,A37,'Results Log'!$B$5:$B$404,"Expected"))</f>
        <v/>
      </c>
      <c r="O37" s="50" t="n"/>
      <c r="P37" s="51" t="n"/>
      <c r="Q37" s="50" t="n"/>
      <c r="R37" s="43" t="n"/>
      <c r="S37" s="52" t="n"/>
    </row>
    <row r="38" ht="15" customHeight="1" s="35">
      <c r="A38" s="46" t="inlineStr">
        <is>
          <t>PRK-V04</t>
        </is>
      </c>
      <c r="B38" s="42" t="inlineStr">
        <is>
          <t>Parking Obstruction</t>
        </is>
      </c>
      <c r="C38" s="44" t="inlineStr">
        <is>
          <t>Car parked over the road edge</t>
        </is>
      </c>
      <c r="D38" s="43" t="inlineStr">
        <is>
          <t>Mid</t>
        </is>
      </c>
      <c r="E38" s="43" t="inlineStr">
        <is>
          <t>Night</t>
        </is>
      </c>
      <c r="F38" s="43" t="inlineStr">
        <is>
          <t>6–7 min</t>
        </is>
      </c>
      <c r="G38" s="43" t="inlineStr">
        <is>
          <t>Main</t>
        </is>
      </c>
      <c r="H38" s="43" t="inlineStr">
        <is>
          <t>Not recorded</t>
        </is>
      </c>
      <c r="I38" s="47" t="n"/>
      <c r="J38" s="48" t="n"/>
      <c r="K38" s="43" t="n"/>
      <c r="L38" s="43" t="inlineStr">
        <is>
          <t>Not run</t>
        </is>
      </c>
      <c r="M38" s="43" t="inlineStr">
        <is>
          <t>No</t>
        </is>
      </c>
      <c r="N38" s="49">
        <f>IF(A38="","",COUNTIFS('Results Log'!$A$5:$A$404,A38,'Results Log'!$B$5:$B$404,"Expected"))</f>
        <v/>
      </c>
      <c r="O38" s="50" t="n"/>
      <c r="P38" s="51" t="n"/>
      <c r="Q38" s="50" t="n"/>
      <c r="R38" s="43" t="n"/>
      <c r="S38" s="52" t="n"/>
    </row>
    <row r="39" ht="15" customHeight="1" s="35">
      <c r="A39" s="46" t="inlineStr">
        <is>
          <t>PRK-V05</t>
        </is>
      </c>
      <c r="B39" s="42" t="inlineStr">
        <is>
          <t>Parking Obstruction</t>
        </is>
      </c>
      <c r="C39" s="44" t="inlineStr">
        <is>
          <t>Car parked partially inside the zone</t>
        </is>
      </c>
      <c r="D39" s="43" t="inlineStr">
        <is>
          <t>Mid</t>
        </is>
      </c>
      <c r="E39" s="43" t="inlineStr">
        <is>
          <t>Afternoon</t>
        </is>
      </c>
      <c r="F39" s="43" t="inlineStr">
        <is>
          <t>6–7 min</t>
        </is>
      </c>
      <c r="G39" s="43" t="inlineStr">
        <is>
          <t>Main</t>
        </is>
      </c>
      <c r="H39" s="43" t="inlineStr">
        <is>
          <t>Not recorded</t>
        </is>
      </c>
      <c r="I39" s="47" t="n"/>
      <c r="J39" s="48" t="n"/>
      <c r="K39" s="43" t="n"/>
      <c r="L39" s="43" t="inlineStr">
        <is>
          <t>Not run</t>
        </is>
      </c>
      <c r="M39" s="43" t="inlineStr">
        <is>
          <t>No</t>
        </is>
      </c>
      <c r="N39" s="49">
        <f>IF(A39="","",COUNTIFS('Results Log'!$A$5:$A$404,A39,'Results Log'!$B$5:$B$404,"Expected"))</f>
        <v/>
      </c>
      <c r="O39" s="50" t="n"/>
      <c r="P39" s="51" t="n"/>
      <c r="Q39" s="50" t="n"/>
      <c r="R39" s="43" t="n"/>
      <c r="S39" s="52" t="n"/>
    </row>
    <row r="40" ht="15" customHeight="1" s="35">
      <c r="A40" s="46" t="inlineStr">
        <is>
          <t>PRK-L01</t>
        </is>
      </c>
      <c r="B40" s="42" t="inlineStr">
        <is>
          <t>Parking Obstruction</t>
        </is>
      </c>
      <c r="C40" s="44" t="inlineStr">
        <is>
          <t>Car stops ~2 min, then leaves</t>
        </is>
      </c>
      <c r="D40" s="43" t="inlineStr">
        <is>
          <t>Mid</t>
        </is>
      </c>
      <c r="E40" s="43" t="inlineStr">
        <is>
          <t>Day</t>
        </is>
      </c>
      <c r="F40" s="43" t="inlineStr">
        <is>
          <t>6–7 min</t>
        </is>
      </c>
      <c r="G40" s="43" t="inlineStr">
        <is>
          <t>Main</t>
        </is>
      </c>
      <c r="H40" s="43" t="inlineStr">
        <is>
          <t>Not recorded</t>
        </is>
      </c>
      <c r="I40" s="47" t="n"/>
      <c r="J40" s="48" t="n"/>
      <c r="K40" s="43" t="n"/>
      <c r="L40" s="43" t="inlineStr">
        <is>
          <t>Not run</t>
        </is>
      </c>
      <c r="M40" s="43" t="inlineStr">
        <is>
          <t>No</t>
        </is>
      </c>
      <c r="N40" s="49">
        <f>IF(A40="","",COUNTIFS('Results Log'!$A$5:$A$404,A40,'Results Log'!$B$5:$B$404,"Expected"))</f>
        <v/>
      </c>
      <c r="O40" s="50" t="n"/>
      <c r="P40" s="51" t="n"/>
      <c r="Q40" s="50" t="n"/>
      <c r="R40" s="43" t="n"/>
      <c r="S40" s="52" t="n"/>
    </row>
    <row r="41" ht="15" customHeight="1" s="35">
      <c r="A41" s="46" t="inlineStr">
        <is>
          <t>PRK-L02</t>
        </is>
      </c>
      <c r="B41" s="42" t="inlineStr">
        <is>
          <t>Parking Obstruction</t>
        </is>
      </c>
      <c r="C41" s="44" t="inlineStr">
        <is>
          <t>Tricycle loading/unloading ~3 min</t>
        </is>
      </c>
      <c r="D41" s="43" t="inlineStr">
        <is>
          <t>Mid</t>
        </is>
      </c>
      <c r="E41" s="43" t="inlineStr">
        <is>
          <t>Afternoon</t>
        </is>
      </c>
      <c r="F41" s="43" t="inlineStr">
        <is>
          <t>6–7 min</t>
        </is>
      </c>
      <c r="G41" s="43" t="inlineStr">
        <is>
          <t>Main</t>
        </is>
      </c>
      <c r="H41" s="43" t="inlineStr">
        <is>
          <t>Not recorded</t>
        </is>
      </c>
      <c r="I41" s="47" t="n"/>
      <c r="J41" s="48" t="n"/>
      <c r="K41" s="43" t="n"/>
      <c r="L41" s="43" t="inlineStr">
        <is>
          <t>Not run</t>
        </is>
      </c>
      <c r="M41" s="43" t="inlineStr">
        <is>
          <t>No</t>
        </is>
      </c>
      <c r="N41" s="49">
        <f>IF(A41="","",COUNTIFS('Results Log'!$A$5:$A$404,A41,'Results Log'!$B$5:$B$404,"Expected"))</f>
        <v/>
      </c>
      <c r="O41" s="50" t="n"/>
      <c r="P41" s="51" t="n"/>
      <c r="Q41" s="50" t="n"/>
      <c r="R41" s="43" t="n"/>
      <c r="S41" s="52" t="n"/>
    </row>
    <row r="42" ht="15" customHeight="1" s="35">
      <c r="A42" s="46" t="inlineStr">
        <is>
          <t>PRK-L03</t>
        </is>
      </c>
      <c r="B42" s="42" t="inlineStr">
        <is>
          <t>Parking Obstruction</t>
        </is>
      </c>
      <c r="C42" s="44" t="inlineStr">
        <is>
          <t>Car drives through the zone without stopping</t>
        </is>
      </c>
      <c r="D42" s="43" t="inlineStr">
        <is>
          <t>Mid</t>
        </is>
      </c>
      <c r="E42" s="43" t="inlineStr">
        <is>
          <t>Day</t>
        </is>
      </c>
      <c r="F42" s="43" t="inlineStr">
        <is>
          <t>6–7 min</t>
        </is>
      </c>
      <c r="G42" s="43" t="inlineStr">
        <is>
          <t>Main</t>
        </is>
      </c>
      <c r="H42" s="43" t="inlineStr">
        <is>
          <t>Not recorded</t>
        </is>
      </c>
      <c r="I42" s="47" t="n"/>
      <c r="J42" s="48" t="n"/>
      <c r="K42" s="43" t="n"/>
      <c r="L42" s="43" t="inlineStr">
        <is>
          <t>Not run</t>
        </is>
      </c>
      <c r="M42" s="43" t="inlineStr">
        <is>
          <t>No</t>
        </is>
      </c>
      <c r="N42" s="49">
        <f>IF(A42="","",COUNTIFS('Results Log'!$A$5:$A$404,A42,'Results Log'!$B$5:$B$404,"Expected"))</f>
        <v/>
      </c>
      <c r="O42" s="50" t="n"/>
      <c r="P42" s="51" t="n"/>
      <c r="Q42" s="50" t="n"/>
      <c r="R42" s="43" t="n"/>
      <c r="S42" s="52" t="n"/>
    </row>
    <row r="43" ht="15" customHeight="1" s="35">
      <c r="A43" s="46" t="inlineStr">
        <is>
          <t>PRK-L04</t>
        </is>
      </c>
      <c r="B43" s="42" t="inlineStr">
        <is>
          <t>Parking Obstruction</t>
        </is>
      </c>
      <c r="C43" s="44" t="inlineStr">
        <is>
          <t>Car parked just outside the zone for 6 min</t>
        </is>
      </c>
      <c r="D43" s="43" t="inlineStr">
        <is>
          <t>Mid</t>
        </is>
      </c>
      <c r="E43" s="43" t="inlineStr">
        <is>
          <t>Day</t>
        </is>
      </c>
      <c r="F43" s="43" t="inlineStr">
        <is>
          <t>6–7 min</t>
        </is>
      </c>
      <c r="G43" s="43" t="inlineStr">
        <is>
          <t>Main</t>
        </is>
      </c>
      <c r="H43" s="43" t="inlineStr">
        <is>
          <t>Not recorded</t>
        </is>
      </c>
      <c r="I43" s="47" t="n"/>
      <c r="J43" s="48" t="n"/>
      <c r="K43" s="43" t="n"/>
      <c r="L43" s="43" t="inlineStr">
        <is>
          <t>Not run</t>
        </is>
      </c>
      <c r="M43" s="43" t="inlineStr">
        <is>
          <t>No</t>
        </is>
      </c>
      <c r="N43" s="49">
        <f>IF(A43="","",COUNTIFS('Results Log'!$A$5:$A$404,A43,'Results Log'!$B$5:$B$404,"Expected"))</f>
        <v/>
      </c>
      <c r="O43" s="50" t="n"/>
      <c r="P43" s="51" t="n"/>
      <c r="Q43" s="50" t="n"/>
      <c r="R43" s="43" t="n"/>
      <c r="S43" s="52" t="n"/>
    </row>
    <row r="44" ht="15" customHeight="1" s="35">
      <c r="A44" s="46" t="inlineStr">
        <is>
          <t>PRK-L05</t>
        </is>
      </c>
      <c r="B44" s="42" t="inlineStr">
        <is>
          <t>Parking Obstruction</t>
        </is>
      </c>
      <c r="C44" s="44" t="inlineStr">
        <is>
          <t>Motorcycle stops 4 min 30 s, then leaves</t>
        </is>
      </c>
      <c r="D44" s="43" t="inlineStr">
        <is>
          <t>Mid</t>
        </is>
      </c>
      <c r="E44" s="43" t="inlineStr">
        <is>
          <t>Night</t>
        </is>
      </c>
      <c r="F44" s="43" t="inlineStr">
        <is>
          <t>6–7 min</t>
        </is>
      </c>
      <c r="G44" s="43" t="inlineStr">
        <is>
          <t>Main</t>
        </is>
      </c>
      <c r="H44" s="43" t="inlineStr">
        <is>
          <t>Not recorded</t>
        </is>
      </c>
      <c r="I44" s="47" t="n"/>
      <c r="J44" s="48" t="n"/>
      <c r="K44" s="43" t="n"/>
      <c r="L44" s="43" t="inlineStr">
        <is>
          <t>Not run</t>
        </is>
      </c>
      <c r="M44" s="43" t="inlineStr">
        <is>
          <t>No</t>
        </is>
      </c>
      <c r="N44" s="49">
        <f>IF(A44="","",COUNTIFS('Results Log'!$A$5:$A$404,A44,'Results Log'!$B$5:$B$404,"Expected"))</f>
        <v/>
      </c>
      <c r="O44" s="50" t="n"/>
      <c r="P44" s="51" t="n"/>
      <c r="Q44" s="50" t="n"/>
      <c r="R44" s="43" t="n"/>
      <c r="S44" s="52" t="n"/>
    </row>
    <row r="45" ht="15" customHeight="1" s="35">
      <c r="A45" s="46" t="inlineStr">
        <is>
          <t>HLD-V01</t>
        </is>
      </c>
      <c r="B45" s="42" t="inlineStr">
        <is>
          <t>Holdup</t>
        </is>
      </c>
      <c r="C45" s="44" t="inlineStr">
        <is>
          <t>Attacker approaches victim from the front with a knife</t>
        </is>
      </c>
      <c r="D45" s="43" t="inlineStr">
        <is>
          <t>Near</t>
        </is>
      </c>
      <c r="E45" s="43" t="inlineStr">
        <is>
          <t>Day</t>
        </is>
      </c>
      <c r="F45" s="43" t="inlineStr">
        <is>
          <t>1 min</t>
        </is>
      </c>
      <c r="G45" s="43" t="inlineStr">
        <is>
          <t>Main</t>
        </is>
      </c>
      <c r="H45" s="43" t="inlineStr">
        <is>
          <t>Not recorded</t>
        </is>
      </c>
      <c r="I45" s="47" t="n"/>
      <c r="J45" s="48" t="n"/>
      <c r="K45" s="43" t="n"/>
      <c r="L45" s="43" t="inlineStr">
        <is>
          <t>Not run</t>
        </is>
      </c>
      <c r="M45" s="43" t="inlineStr">
        <is>
          <t>No</t>
        </is>
      </c>
      <c r="N45" s="49">
        <f>IF(A45="","",COUNTIFS('Results Log'!$A$5:$A$404,A45,'Results Log'!$B$5:$B$404,"Expected"))</f>
        <v/>
      </c>
      <c r="O45" s="50" t="n"/>
      <c r="P45" s="51" t="n"/>
      <c r="Q45" s="50" t="n"/>
      <c r="R45" s="43" t="n"/>
      <c r="S45" s="52" t="n"/>
    </row>
    <row r="46" ht="15" customHeight="1" s="35">
      <c r="A46" s="46" t="inlineStr">
        <is>
          <t>HLD-V02</t>
        </is>
      </c>
      <c r="B46" s="42" t="inlineStr">
        <is>
          <t>Holdup</t>
        </is>
      </c>
      <c r="C46" s="44" t="inlineStr">
        <is>
          <t>Attacker approaches victim from behind with a knife</t>
        </is>
      </c>
      <c r="D46" s="43" t="inlineStr">
        <is>
          <t>Near</t>
        </is>
      </c>
      <c r="E46" s="43" t="inlineStr">
        <is>
          <t>Day</t>
        </is>
      </c>
      <c r="F46" s="43" t="inlineStr">
        <is>
          <t>1 min</t>
        </is>
      </c>
      <c r="G46" s="43" t="inlineStr">
        <is>
          <t>Main</t>
        </is>
      </c>
      <c r="H46" s="43" t="inlineStr">
        <is>
          <t>Not recorded</t>
        </is>
      </c>
      <c r="I46" s="47" t="n"/>
      <c r="J46" s="48" t="n"/>
      <c r="K46" s="43" t="n"/>
      <c r="L46" s="43" t="inlineStr">
        <is>
          <t>Not run</t>
        </is>
      </c>
      <c r="M46" s="43" t="inlineStr">
        <is>
          <t>No</t>
        </is>
      </c>
      <c r="N46" s="49">
        <f>IF(A46="","",COUNTIFS('Results Log'!$A$5:$A$404,A46,'Results Log'!$B$5:$B$404,"Expected"))</f>
        <v/>
      </c>
      <c r="O46" s="50" t="n"/>
      <c r="P46" s="51" t="n"/>
      <c r="Q46" s="50" t="n"/>
      <c r="R46" s="43" t="n"/>
      <c r="S46" s="52" t="n"/>
    </row>
    <row r="47" ht="15" customHeight="1" s="35">
      <c r="A47" s="46" t="inlineStr">
        <is>
          <t>HLD-V03</t>
        </is>
      </c>
      <c r="B47" s="42" t="inlineStr">
        <is>
          <t>Holdup</t>
        </is>
      </c>
      <c r="C47" s="44" t="inlineStr">
        <is>
          <t>Two attackers corner one victim, knife shown</t>
        </is>
      </c>
      <c r="D47" s="43" t="inlineStr">
        <is>
          <t>Mid</t>
        </is>
      </c>
      <c r="E47" s="43" t="inlineStr">
        <is>
          <t>Day</t>
        </is>
      </c>
      <c r="F47" s="43" t="inlineStr">
        <is>
          <t>1 min</t>
        </is>
      </c>
      <c r="G47" s="43" t="inlineStr">
        <is>
          <t>Main</t>
        </is>
      </c>
      <c r="H47" s="43" t="inlineStr">
        <is>
          <t>Not recorded</t>
        </is>
      </c>
      <c r="I47" s="47" t="n"/>
      <c r="J47" s="48" t="n"/>
      <c r="K47" s="43" t="n"/>
      <c r="L47" s="43" t="inlineStr">
        <is>
          <t>Not run</t>
        </is>
      </c>
      <c r="M47" s="43" t="inlineStr">
        <is>
          <t>No</t>
        </is>
      </c>
      <c r="N47" s="49">
        <f>IF(A47="","",COUNTIFS('Results Log'!$A$5:$A$404,A47,'Results Log'!$B$5:$B$404,"Expected"))</f>
        <v/>
      </c>
      <c r="O47" s="50" t="n"/>
      <c r="P47" s="51" t="n"/>
      <c r="Q47" s="50" t="n"/>
      <c r="R47" s="43" t="n"/>
      <c r="S47" s="52" t="n"/>
    </row>
    <row r="48" ht="15" customHeight="1" s="35">
      <c r="A48" s="46" t="inlineStr">
        <is>
          <t>HLD-V04</t>
        </is>
      </c>
      <c r="B48" s="42" t="inlineStr">
        <is>
          <t>Holdup</t>
        </is>
      </c>
      <c r="C48" s="44" t="inlineStr">
        <is>
          <t>Knife hidden, then revealed close to victim</t>
        </is>
      </c>
      <c r="D48" s="43" t="inlineStr">
        <is>
          <t>Near</t>
        </is>
      </c>
      <c r="E48" s="43" t="inlineStr">
        <is>
          <t>Afternoon</t>
        </is>
      </c>
      <c r="F48" s="43" t="inlineStr">
        <is>
          <t>1 min</t>
        </is>
      </c>
      <c r="G48" s="43" t="inlineStr">
        <is>
          <t>Main</t>
        </is>
      </c>
      <c r="H48" s="43" t="inlineStr">
        <is>
          <t>Not recorded</t>
        </is>
      </c>
      <c r="I48" s="47" t="n"/>
      <c r="J48" s="48" t="n"/>
      <c r="K48" s="43" t="n"/>
      <c r="L48" s="43" t="inlineStr">
        <is>
          <t>Not run</t>
        </is>
      </c>
      <c r="M48" s="43" t="inlineStr">
        <is>
          <t>No</t>
        </is>
      </c>
      <c r="N48" s="49">
        <f>IF(A48="","",COUNTIFS('Results Log'!$A$5:$A$404,A48,'Results Log'!$B$5:$B$404,"Expected"))</f>
        <v/>
      </c>
      <c r="O48" s="50" t="n"/>
      <c r="P48" s="51" t="n"/>
      <c r="Q48" s="50" t="n"/>
      <c r="R48" s="43" t="n"/>
      <c r="S48" s="52" t="n"/>
    </row>
    <row r="49" ht="15" customHeight="1" s="35">
      <c r="A49" s="46" t="inlineStr">
        <is>
          <t>HLD-V05</t>
        </is>
      </c>
      <c r="B49" s="42" t="inlineStr">
        <is>
          <t>Holdup</t>
        </is>
      </c>
      <c r="C49" s="44" t="inlineStr">
        <is>
          <t>Victim seated, attacker standing with knife</t>
        </is>
      </c>
      <c r="D49" s="43" t="inlineStr">
        <is>
          <t>Mid</t>
        </is>
      </c>
      <c r="E49" s="43" t="inlineStr">
        <is>
          <t>Afternoon</t>
        </is>
      </c>
      <c r="F49" s="43" t="inlineStr">
        <is>
          <t>1 min</t>
        </is>
      </c>
      <c r="G49" s="43" t="inlineStr">
        <is>
          <t>Main</t>
        </is>
      </c>
      <c r="H49" s="43" t="inlineStr">
        <is>
          <t>Not recorded</t>
        </is>
      </c>
      <c r="I49" s="47" t="n"/>
      <c r="J49" s="48" t="n"/>
      <c r="K49" s="43" t="n"/>
      <c r="L49" s="43" t="inlineStr">
        <is>
          <t>Not run</t>
        </is>
      </c>
      <c r="M49" s="43" t="inlineStr">
        <is>
          <t>No</t>
        </is>
      </c>
      <c r="N49" s="49">
        <f>IF(A49="","",COUNTIFS('Results Log'!$A$5:$A$404,A49,'Results Log'!$B$5:$B$404,"Expected"))</f>
        <v/>
      </c>
      <c r="O49" s="50" t="n"/>
      <c r="P49" s="51" t="n"/>
      <c r="Q49" s="50" t="n"/>
      <c r="R49" s="43" t="n"/>
      <c r="S49" s="52" t="n"/>
    </row>
    <row r="50" ht="15" customHeight="1" s="35">
      <c r="A50" s="46" t="inlineStr">
        <is>
          <t>HLD-V06</t>
        </is>
      </c>
      <c r="B50" s="42" t="inlineStr">
        <is>
          <t>Holdup</t>
        </is>
      </c>
      <c r="C50" s="44" t="inlineStr">
        <is>
          <t>Knife holdup</t>
        </is>
      </c>
      <c r="D50" s="43" t="inlineStr">
        <is>
          <t>Near</t>
        </is>
      </c>
      <c r="E50" s="43" t="inlineStr">
        <is>
          <t>Night</t>
        </is>
      </c>
      <c r="F50" s="43" t="inlineStr">
        <is>
          <t>1 min</t>
        </is>
      </c>
      <c r="G50" s="43" t="inlineStr">
        <is>
          <t>Main</t>
        </is>
      </c>
      <c r="H50" s="43" t="inlineStr">
        <is>
          <t>Not recorded</t>
        </is>
      </c>
      <c r="I50" s="47" t="n"/>
      <c r="J50" s="48" t="n"/>
      <c r="K50" s="43" t="n"/>
      <c r="L50" s="43" t="inlineStr">
        <is>
          <t>Not run</t>
        </is>
      </c>
      <c r="M50" s="43" t="inlineStr">
        <is>
          <t>No</t>
        </is>
      </c>
      <c r="N50" s="49">
        <f>IF(A50="","",COUNTIFS('Results Log'!$A$5:$A$404,A50,'Results Log'!$B$5:$B$404,"Expected"))</f>
        <v/>
      </c>
      <c r="O50" s="50" t="n"/>
      <c r="P50" s="51" t="n"/>
      <c r="Q50" s="50" t="n"/>
      <c r="R50" s="43" t="n"/>
      <c r="S50" s="52" t="n"/>
    </row>
    <row r="51" ht="15" customHeight="1" s="35">
      <c r="A51" s="46" t="inlineStr">
        <is>
          <t>HLD-V07</t>
        </is>
      </c>
      <c r="B51" s="42" t="inlineStr">
        <is>
          <t>Holdup</t>
        </is>
      </c>
      <c r="C51" s="44" t="inlineStr">
        <is>
          <t>Knife holdup across the road</t>
        </is>
      </c>
      <c r="D51" s="43" t="inlineStr">
        <is>
          <t>Far</t>
        </is>
      </c>
      <c r="E51" s="43" t="inlineStr">
        <is>
          <t>Day</t>
        </is>
      </c>
      <c r="F51" s="43" t="inlineStr">
        <is>
          <t>1 min</t>
        </is>
      </c>
      <c r="G51" s="43" t="inlineStr">
        <is>
          <t>Main</t>
        </is>
      </c>
      <c r="H51" s="43" t="inlineStr">
        <is>
          <t>Not recorded</t>
        </is>
      </c>
      <c r="I51" s="47" t="n"/>
      <c r="J51" s="48" t="n"/>
      <c r="K51" s="43" t="n"/>
      <c r="L51" s="43" t="inlineStr">
        <is>
          <t>Not run</t>
        </is>
      </c>
      <c r="M51" s="43" t="inlineStr">
        <is>
          <t>No</t>
        </is>
      </c>
      <c r="N51" s="49">
        <f>IF(A51="","",COUNTIFS('Results Log'!$A$5:$A$404,A51,'Results Log'!$B$5:$B$404,"Expected"))</f>
        <v/>
      </c>
      <c r="O51" s="50" t="n"/>
      <c r="P51" s="51" t="n"/>
      <c r="Q51" s="50" t="n"/>
      <c r="R51" s="43" t="n"/>
      <c r="S51" s="52" t="n"/>
    </row>
    <row r="52" ht="15" customHeight="1" s="35">
      <c r="A52" s="46" t="inlineStr">
        <is>
          <t>HLD-V08</t>
        </is>
      </c>
      <c r="B52" s="42" t="inlineStr">
        <is>
          <t>Holdup</t>
        </is>
      </c>
      <c r="C52" s="44" t="inlineStr">
        <is>
          <t>Knife holdup across the road</t>
        </is>
      </c>
      <c r="D52" s="43" t="inlineStr">
        <is>
          <t>Far</t>
        </is>
      </c>
      <c r="E52" s="43" t="inlineStr">
        <is>
          <t>Night</t>
        </is>
      </c>
      <c r="F52" s="43" t="inlineStr">
        <is>
          <t>1 min</t>
        </is>
      </c>
      <c r="G52" s="43" t="inlineStr">
        <is>
          <t>Main</t>
        </is>
      </c>
      <c r="H52" s="43" t="inlineStr">
        <is>
          <t>Not recorded</t>
        </is>
      </c>
      <c r="I52" s="47" t="n"/>
      <c r="J52" s="48" t="n"/>
      <c r="K52" s="43" t="n"/>
      <c r="L52" s="43" t="inlineStr">
        <is>
          <t>Not run</t>
        </is>
      </c>
      <c r="M52" s="43" t="inlineStr">
        <is>
          <t>No</t>
        </is>
      </c>
      <c r="N52" s="49">
        <f>IF(A52="","",COUNTIFS('Results Log'!$A$5:$A$404,A52,'Results Log'!$B$5:$B$404,"Expected"))</f>
        <v/>
      </c>
      <c r="O52" s="50" t="n"/>
      <c r="P52" s="51" t="n"/>
      <c r="Q52" s="50" t="n"/>
      <c r="R52" s="43" t="n"/>
      <c r="S52" s="52" t="n"/>
    </row>
    <row r="53" ht="15" customHeight="1" s="35">
      <c r="A53" s="46" t="inlineStr">
        <is>
          <t>HLD-V09</t>
        </is>
      </c>
      <c r="B53" s="42" t="inlineStr">
        <is>
          <t>Holdup</t>
        </is>
      </c>
      <c r="C53" s="44" t="inlineStr">
        <is>
          <t>Victim hands over bag/phone under knife threat</t>
        </is>
      </c>
      <c r="D53" s="43" t="inlineStr">
        <is>
          <t>Near</t>
        </is>
      </c>
      <c r="E53" s="43" t="inlineStr">
        <is>
          <t>Day</t>
        </is>
      </c>
      <c r="F53" s="43" t="inlineStr">
        <is>
          <t>1 min</t>
        </is>
      </c>
      <c r="G53" s="43" t="inlineStr">
        <is>
          <t>Main</t>
        </is>
      </c>
      <c r="H53" s="43" t="inlineStr">
        <is>
          <t>Not recorded</t>
        </is>
      </c>
      <c r="I53" s="47" t="n"/>
      <c r="J53" s="48" t="n"/>
      <c r="K53" s="43" t="n"/>
      <c r="L53" s="43" t="inlineStr">
        <is>
          <t>Not run</t>
        </is>
      </c>
      <c r="M53" s="43" t="inlineStr">
        <is>
          <t>No</t>
        </is>
      </c>
      <c r="N53" s="49">
        <f>IF(A53="","",COUNTIFS('Results Log'!$A$5:$A$404,A53,'Results Log'!$B$5:$B$404,"Expected"))</f>
        <v/>
      </c>
      <c r="O53" s="50" t="n"/>
      <c r="P53" s="51" t="n"/>
      <c r="Q53" s="50" t="n"/>
      <c r="R53" s="43" t="n"/>
      <c r="S53" s="52" t="n"/>
    </row>
    <row r="54" ht="15" customHeight="1" s="35">
      <c r="A54" s="46" t="inlineStr">
        <is>
          <t>HLD-V10</t>
        </is>
      </c>
      <c r="B54" s="42" t="inlineStr">
        <is>
          <t>Holdup</t>
        </is>
      </c>
      <c r="C54" s="44" t="inlineStr">
        <is>
          <t>Attacker pins victim near a wall with a knife</t>
        </is>
      </c>
      <c r="D54" s="43" t="inlineStr">
        <is>
          <t>Mid</t>
        </is>
      </c>
      <c r="E54" s="43" t="inlineStr">
        <is>
          <t>Afternoon</t>
        </is>
      </c>
      <c r="F54" s="43" t="inlineStr">
        <is>
          <t>1 min</t>
        </is>
      </c>
      <c r="G54" s="43" t="inlineStr">
        <is>
          <t>Main</t>
        </is>
      </c>
      <c r="H54" s="43" t="inlineStr">
        <is>
          <t>Not recorded</t>
        </is>
      </c>
      <c r="I54" s="47" t="n"/>
      <c r="J54" s="48" t="n"/>
      <c r="K54" s="43" t="n"/>
      <c r="L54" s="43" t="inlineStr">
        <is>
          <t>Not run</t>
        </is>
      </c>
      <c r="M54" s="43" t="inlineStr">
        <is>
          <t>No</t>
        </is>
      </c>
      <c r="N54" s="49">
        <f>IF(A54="","",COUNTIFS('Results Log'!$A$5:$A$404,A54,'Results Log'!$B$5:$B$404,"Expected"))</f>
        <v/>
      </c>
      <c r="O54" s="50" t="n"/>
      <c r="P54" s="51" t="n"/>
      <c r="Q54" s="50" t="n"/>
      <c r="R54" s="43" t="n"/>
      <c r="S54" s="52" t="n"/>
    </row>
    <row r="55" ht="15" customHeight="1" s="35">
      <c r="A55" s="46" t="inlineStr">
        <is>
          <t>HLD-L01</t>
        </is>
      </c>
      <c r="B55" s="42" t="inlineStr">
        <is>
          <t>Holdup</t>
        </is>
      </c>
      <c r="C55" s="44" t="inlineStr">
        <is>
          <t>Two people talking closely, no knife</t>
        </is>
      </c>
      <c r="D55" s="43" t="inlineStr">
        <is>
          <t>Near</t>
        </is>
      </c>
      <c r="E55" s="43" t="inlineStr">
        <is>
          <t>Day</t>
        </is>
      </c>
      <c r="F55" s="43" t="inlineStr">
        <is>
          <t>1 min</t>
        </is>
      </c>
      <c r="G55" s="43" t="inlineStr">
        <is>
          <t>Main</t>
        </is>
      </c>
      <c r="H55" s="43" t="inlineStr">
        <is>
          <t>Not recorded</t>
        </is>
      </c>
      <c r="I55" s="47" t="n"/>
      <c r="J55" s="48" t="n"/>
      <c r="K55" s="43" t="n"/>
      <c r="L55" s="43" t="inlineStr">
        <is>
          <t>Not run</t>
        </is>
      </c>
      <c r="M55" s="43" t="inlineStr">
        <is>
          <t>No</t>
        </is>
      </c>
      <c r="N55" s="49">
        <f>IF(A55="","",COUNTIFS('Results Log'!$A$5:$A$404,A55,'Results Log'!$B$5:$B$404,"Expected"))</f>
        <v/>
      </c>
      <c r="O55" s="50" t="n"/>
      <c r="P55" s="51" t="n"/>
      <c r="Q55" s="50" t="n"/>
      <c r="R55" s="43" t="n"/>
      <c r="S55" s="52" t="n"/>
    </row>
    <row r="56" ht="15" customHeight="1" s="35">
      <c r="A56" s="46" t="inlineStr">
        <is>
          <t>HLD-L02</t>
        </is>
      </c>
      <c r="B56" s="42" t="inlineStr">
        <is>
          <t>Holdup</t>
        </is>
      </c>
      <c r="C56" s="44" t="inlineStr">
        <is>
          <t>Vendor using a knife at a food stall, customer nearby</t>
        </is>
      </c>
      <c r="D56" s="43" t="inlineStr">
        <is>
          <t>Mid</t>
        </is>
      </c>
      <c r="E56" s="43" t="inlineStr">
        <is>
          <t>Afternoon</t>
        </is>
      </c>
      <c r="F56" s="43" t="inlineStr">
        <is>
          <t>1 min</t>
        </is>
      </c>
      <c r="G56" s="43" t="inlineStr">
        <is>
          <t>Main</t>
        </is>
      </c>
      <c r="H56" s="43" t="inlineStr">
        <is>
          <t>Not recorded</t>
        </is>
      </c>
      <c r="I56" s="47" t="n"/>
      <c r="J56" s="48" t="n"/>
      <c r="K56" s="43" t="n"/>
      <c r="L56" s="43" t="inlineStr">
        <is>
          <t>Not run</t>
        </is>
      </c>
      <c r="M56" s="43" t="inlineStr">
        <is>
          <t>No</t>
        </is>
      </c>
      <c r="N56" s="49">
        <f>IF(A56="","",COUNTIFS('Results Log'!$A$5:$A$404,A56,'Results Log'!$B$5:$B$404,"Expected"))</f>
        <v/>
      </c>
      <c r="O56" s="50" t="n"/>
      <c r="P56" s="51" t="n"/>
      <c r="Q56" s="50" t="n"/>
      <c r="R56" s="43" t="n"/>
      <c r="S56" s="52" t="n"/>
    </row>
    <row r="57" ht="15" customHeight="1" s="35">
      <c r="A57" s="46" t="inlineStr">
        <is>
          <t>HLD-L03</t>
        </is>
      </c>
      <c r="B57" s="42" t="inlineStr">
        <is>
          <t>Holdup</t>
        </is>
      </c>
      <c r="C57" s="44" t="inlineStr">
        <is>
          <t>One person alone cutting fruit with a knife</t>
        </is>
      </c>
      <c r="D57" s="43" t="inlineStr">
        <is>
          <t>Near</t>
        </is>
      </c>
      <c r="E57" s="43" t="inlineStr">
        <is>
          <t>Day</t>
        </is>
      </c>
      <c r="F57" s="43" t="inlineStr">
        <is>
          <t>1 min</t>
        </is>
      </c>
      <c r="G57" s="43" t="inlineStr">
        <is>
          <t>Main</t>
        </is>
      </c>
      <c r="H57" s="43" t="inlineStr">
        <is>
          <t>Not recorded</t>
        </is>
      </c>
      <c r="I57" s="47" t="n"/>
      <c r="J57" s="48" t="n"/>
      <c r="K57" s="43" t="n"/>
      <c r="L57" s="43" t="inlineStr">
        <is>
          <t>Not run</t>
        </is>
      </c>
      <c r="M57" s="43" t="inlineStr">
        <is>
          <t>No</t>
        </is>
      </c>
      <c r="N57" s="49">
        <f>IF(A57="","",COUNTIFS('Results Log'!$A$5:$A$404,A57,'Results Log'!$B$5:$B$404,"Expected"))</f>
        <v/>
      </c>
      <c r="O57" s="50" t="n"/>
      <c r="P57" s="51" t="n"/>
      <c r="Q57" s="50" t="n"/>
      <c r="R57" s="43" t="n"/>
      <c r="S57" s="52" t="n"/>
    </row>
    <row r="58" ht="15" customHeight="1" s="35">
      <c r="A58" s="46" t="inlineStr">
        <is>
          <t>HLD-L04</t>
        </is>
      </c>
      <c r="B58" s="42" t="inlineStr">
        <is>
          <t>Holdup</t>
        </is>
      </c>
      <c r="C58" s="44" t="inlineStr">
        <is>
          <t>Two people shaking hands / hugging</t>
        </is>
      </c>
      <c r="D58" s="43" t="inlineStr">
        <is>
          <t>Near</t>
        </is>
      </c>
      <c r="E58" s="43" t="inlineStr">
        <is>
          <t>Night</t>
        </is>
      </c>
      <c r="F58" s="43" t="inlineStr">
        <is>
          <t>1 min</t>
        </is>
      </c>
      <c r="G58" s="43" t="inlineStr">
        <is>
          <t>Main</t>
        </is>
      </c>
      <c r="H58" s="43" t="inlineStr">
        <is>
          <t>Not recorded</t>
        </is>
      </c>
      <c r="I58" s="47" t="n"/>
      <c r="J58" s="48" t="n"/>
      <c r="K58" s="43" t="n"/>
      <c r="L58" s="43" t="inlineStr">
        <is>
          <t>Not run</t>
        </is>
      </c>
      <c r="M58" s="43" t="inlineStr">
        <is>
          <t>No</t>
        </is>
      </c>
      <c r="N58" s="49">
        <f>IF(A58="","",COUNTIFS('Results Log'!$A$5:$A$404,A58,'Results Log'!$B$5:$B$404,"Expected"))</f>
        <v/>
      </c>
      <c r="O58" s="50" t="n"/>
      <c r="P58" s="51" t="n"/>
      <c r="Q58" s="50" t="n"/>
      <c r="R58" s="43" t="n"/>
      <c r="S58" s="52" t="n"/>
    </row>
    <row r="59" ht="15" customHeight="1" s="35">
      <c r="A59" s="46" t="inlineStr">
        <is>
          <t>HLD-L05</t>
        </is>
      </c>
      <c r="B59" s="42" t="inlineStr">
        <is>
          <t>Holdup</t>
        </is>
      </c>
      <c r="C59" s="44" t="inlineStr">
        <is>
          <t>Person pointing an umbrella or phone toward another</t>
        </is>
      </c>
      <c r="D59" s="43" t="inlineStr">
        <is>
          <t>Mid</t>
        </is>
      </c>
      <c r="E59" s="43" t="inlineStr">
        <is>
          <t>Day</t>
        </is>
      </c>
      <c r="F59" s="43" t="inlineStr">
        <is>
          <t>1 min</t>
        </is>
      </c>
      <c r="G59" s="43" t="inlineStr">
        <is>
          <t>Main</t>
        </is>
      </c>
      <c r="H59" s="43" t="inlineStr">
        <is>
          <t>Not recorded</t>
        </is>
      </c>
      <c r="I59" s="47" t="n"/>
      <c r="J59" s="48" t="n"/>
      <c r="K59" s="43" t="n"/>
      <c r="L59" s="43" t="inlineStr">
        <is>
          <t>Not run</t>
        </is>
      </c>
      <c r="M59" s="43" t="inlineStr">
        <is>
          <t>No</t>
        </is>
      </c>
      <c r="N59" s="49">
        <f>IF(A59="","",COUNTIFS('Results Log'!$A$5:$A$404,A59,'Results Log'!$B$5:$B$404,"Expected"))</f>
        <v/>
      </c>
      <c r="O59" s="50" t="n"/>
      <c r="P59" s="51" t="n"/>
      <c r="Q59" s="50" t="n"/>
      <c r="R59" s="43" t="n"/>
      <c r="S59" s="52" t="n"/>
    </row>
    <row r="60" ht="15" customHeight="1" s="35">
      <c r="A60" s="43" t="n"/>
      <c r="B60" s="47" t="n"/>
      <c r="C60" s="47" t="n"/>
      <c r="D60" s="43" t="n"/>
      <c r="E60" s="43" t="n"/>
      <c r="F60" s="43" t="n"/>
      <c r="G60" s="43" t="n"/>
      <c r="H60" s="43" t="n"/>
      <c r="I60" s="47" t="n"/>
      <c r="J60" s="48" t="n"/>
      <c r="K60" s="43" t="n"/>
      <c r="L60" s="43" t="n"/>
      <c r="M60" s="43" t="n"/>
      <c r="N60" s="49">
        <f>IF(A60="","",COUNTIFS('Results Log'!$A$5:$A$404,A60,'Results Log'!$B$5:$B$404,"Expected"))</f>
        <v/>
      </c>
      <c r="O60" s="50" t="n"/>
      <c r="P60" s="51" t="n"/>
      <c r="Q60" s="50" t="n"/>
      <c r="R60" s="43" t="n"/>
      <c r="S60" s="52" t="n"/>
    </row>
    <row r="61" ht="15" customHeight="1" s="35">
      <c r="A61" s="43" t="n"/>
      <c r="B61" s="47" t="n"/>
      <c r="C61" s="47" t="n"/>
      <c r="D61" s="43" t="n"/>
      <c r="E61" s="43" t="n"/>
      <c r="F61" s="43" t="n"/>
      <c r="G61" s="43" t="n"/>
      <c r="H61" s="43" t="n"/>
      <c r="I61" s="47" t="n"/>
      <c r="J61" s="48" t="n"/>
      <c r="K61" s="43" t="n"/>
      <c r="L61" s="43" t="n"/>
      <c r="M61" s="43" t="n"/>
      <c r="N61" s="49">
        <f>IF(A61="","",COUNTIFS('Results Log'!$A$5:$A$404,A61,'Results Log'!$B$5:$B$404,"Expected"))</f>
        <v/>
      </c>
      <c r="O61" s="50" t="n"/>
      <c r="P61" s="51" t="n"/>
      <c r="Q61" s="50" t="n"/>
      <c r="R61" s="43" t="n"/>
      <c r="S61" s="52" t="n"/>
    </row>
    <row r="62" ht="15" customHeight="1" s="35">
      <c r="A62" s="43" t="n"/>
      <c r="B62" s="47" t="n"/>
      <c r="C62" s="47" t="n"/>
      <c r="D62" s="43" t="n"/>
      <c r="E62" s="43" t="n"/>
      <c r="F62" s="43" t="n"/>
      <c r="G62" s="43" t="n"/>
      <c r="H62" s="43" t="n"/>
      <c r="I62" s="47" t="n"/>
      <c r="J62" s="48" t="n"/>
      <c r="K62" s="43" t="n"/>
      <c r="L62" s="43" t="n"/>
      <c r="M62" s="43" t="n"/>
      <c r="N62" s="49">
        <f>IF(A62="","",COUNTIFS('Results Log'!$A$5:$A$404,A62,'Results Log'!$B$5:$B$404,"Expected"))</f>
        <v/>
      </c>
      <c r="O62" s="50" t="n"/>
      <c r="P62" s="51" t="n"/>
      <c r="Q62" s="50" t="n"/>
      <c r="R62" s="43" t="n"/>
      <c r="S62" s="52" t="n"/>
    </row>
    <row r="63" ht="15" customHeight="1" s="35">
      <c r="A63" s="43" t="n"/>
      <c r="B63" s="47" t="n"/>
      <c r="C63" s="47" t="n"/>
      <c r="D63" s="43" t="n"/>
      <c r="E63" s="43" t="n"/>
      <c r="F63" s="43" t="n"/>
      <c r="G63" s="43" t="n"/>
      <c r="H63" s="43" t="n"/>
      <c r="I63" s="47" t="n"/>
      <c r="J63" s="48" t="n"/>
      <c r="K63" s="43" t="n"/>
      <c r="L63" s="43" t="n"/>
      <c r="M63" s="43" t="n"/>
      <c r="N63" s="49">
        <f>IF(A63="","",COUNTIFS('Results Log'!$A$5:$A$404,A63,'Results Log'!$B$5:$B$404,"Expected"))</f>
        <v/>
      </c>
      <c r="O63" s="50" t="n"/>
      <c r="P63" s="51" t="n"/>
      <c r="Q63" s="50" t="n"/>
      <c r="R63" s="43" t="n"/>
      <c r="S63" s="52" t="n"/>
    </row>
    <row r="64" ht="15" customHeight="1" s="35">
      <c r="A64" s="43" t="n"/>
      <c r="B64" s="47" t="n"/>
      <c r="C64" s="47" t="n"/>
      <c r="D64" s="43" t="n"/>
      <c r="E64" s="43" t="n"/>
      <c r="F64" s="43" t="n"/>
      <c r="G64" s="43" t="n"/>
      <c r="H64" s="43" t="n"/>
      <c r="I64" s="47" t="n"/>
      <c r="J64" s="48" t="n"/>
      <c r="K64" s="43" t="n"/>
      <c r="L64" s="43" t="n"/>
      <c r="M64" s="43" t="n"/>
      <c r="N64" s="49">
        <f>IF(A64="","",COUNTIFS('Results Log'!$A$5:$A$404,A64,'Results Log'!$B$5:$B$404,"Expected"))</f>
        <v/>
      </c>
      <c r="O64" s="50" t="n"/>
      <c r="P64" s="51" t="n"/>
      <c r="Q64" s="50" t="n"/>
      <c r="R64" s="43" t="n"/>
      <c r="S64" s="52" t="n"/>
    </row>
    <row r="65" ht="15" customHeight="1" s="35">
      <c r="A65" s="43" t="n"/>
      <c r="B65" s="47" t="n"/>
      <c r="C65" s="47" t="n"/>
      <c r="D65" s="43" t="n"/>
      <c r="E65" s="43" t="n"/>
      <c r="F65" s="43" t="n"/>
      <c r="G65" s="43" t="n"/>
      <c r="H65" s="43" t="n"/>
      <c r="I65" s="47" t="n"/>
      <c r="J65" s="48" t="n"/>
      <c r="K65" s="43" t="n"/>
      <c r="L65" s="43" t="n"/>
      <c r="M65" s="43" t="n"/>
      <c r="N65" s="49">
        <f>IF(A65="","",COUNTIFS('Results Log'!$A$5:$A$404,A65,'Results Log'!$B$5:$B$404,"Expected"))</f>
        <v/>
      </c>
      <c r="O65" s="50" t="n"/>
      <c r="P65" s="51" t="n"/>
      <c r="Q65" s="50" t="n"/>
      <c r="R65" s="43" t="n"/>
      <c r="S65" s="52" t="n"/>
    </row>
    <row r="66" ht="15" customHeight="1" s="35">
      <c r="A66" s="43" t="n"/>
      <c r="B66" s="47" t="n"/>
      <c r="C66" s="47" t="n"/>
      <c r="D66" s="43" t="n"/>
      <c r="E66" s="43" t="n"/>
      <c r="F66" s="43" t="n"/>
      <c r="G66" s="43" t="n"/>
      <c r="H66" s="43" t="n"/>
      <c r="I66" s="47" t="n"/>
      <c r="J66" s="48" t="n"/>
      <c r="K66" s="43" t="n"/>
      <c r="L66" s="43" t="n"/>
      <c r="M66" s="43" t="n"/>
      <c r="N66" s="49">
        <f>IF(A66="","",COUNTIFS('Results Log'!$A$5:$A$404,A66,'Results Log'!$B$5:$B$404,"Expected"))</f>
        <v/>
      </c>
      <c r="O66" s="50" t="n"/>
      <c r="P66" s="51" t="n"/>
      <c r="Q66" s="50" t="n"/>
      <c r="R66" s="43" t="n"/>
      <c r="S66" s="52" t="n"/>
    </row>
    <row r="67" ht="15" customHeight="1" s="35">
      <c r="A67" s="43" t="n"/>
      <c r="B67" s="47" t="n"/>
      <c r="C67" s="47" t="n"/>
      <c r="D67" s="43" t="n"/>
      <c r="E67" s="43" t="n"/>
      <c r="F67" s="43" t="n"/>
      <c r="G67" s="43" t="n"/>
      <c r="H67" s="43" t="n"/>
      <c r="I67" s="47" t="n"/>
      <c r="J67" s="48" t="n"/>
      <c r="K67" s="43" t="n"/>
      <c r="L67" s="43" t="n"/>
      <c r="M67" s="43" t="n"/>
      <c r="N67" s="49">
        <f>IF(A67="","",COUNTIFS('Results Log'!$A$5:$A$404,A67,'Results Log'!$B$5:$B$404,"Expected"))</f>
        <v/>
      </c>
      <c r="O67" s="50" t="n"/>
      <c r="P67" s="51" t="n"/>
      <c r="Q67" s="50" t="n"/>
      <c r="R67" s="43" t="n"/>
      <c r="S67" s="52" t="n"/>
    </row>
    <row r="68" ht="15" customHeight="1" s="35">
      <c r="A68" s="43" t="n"/>
      <c r="B68" s="47" t="n"/>
      <c r="C68" s="47" t="n"/>
      <c r="D68" s="43" t="n"/>
      <c r="E68" s="43" t="n"/>
      <c r="F68" s="43" t="n"/>
      <c r="G68" s="43" t="n"/>
      <c r="H68" s="43" t="n"/>
      <c r="I68" s="47" t="n"/>
      <c r="J68" s="48" t="n"/>
      <c r="K68" s="43" t="n"/>
      <c r="L68" s="43" t="n"/>
      <c r="M68" s="43" t="n"/>
      <c r="N68" s="49">
        <f>IF(A68="","",COUNTIFS('Results Log'!$A$5:$A$404,A68,'Results Log'!$B$5:$B$404,"Expected"))</f>
        <v/>
      </c>
      <c r="O68" s="50" t="n"/>
      <c r="P68" s="51" t="n"/>
      <c r="Q68" s="50" t="n"/>
      <c r="R68" s="43" t="n"/>
      <c r="S68" s="52" t="n"/>
    </row>
    <row r="69" ht="15" customHeight="1" s="35">
      <c r="A69" s="43" t="n"/>
      <c r="B69" s="47" t="n"/>
      <c r="C69" s="47" t="n"/>
      <c r="D69" s="43" t="n"/>
      <c r="E69" s="43" t="n"/>
      <c r="F69" s="43" t="n"/>
      <c r="G69" s="43" t="n"/>
      <c r="H69" s="43" t="n"/>
      <c r="I69" s="47" t="n"/>
      <c r="J69" s="48" t="n"/>
      <c r="K69" s="43" t="n"/>
      <c r="L69" s="43" t="n"/>
      <c r="M69" s="43" t="n"/>
      <c r="N69" s="49">
        <f>IF(A69="","",COUNTIFS('Results Log'!$A$5:$A$404,A69,'Results Log'!$B$5:$B$404,"Expected"))</f>
        <v/>
      </c>
      <c r="O69" s="50" t="n"/>
      <c r="P69" s="51" t="n"/>
      <c r="Q69" s="50" t="n"/>
      <c r="R69" s="43" t="n"/>
      <c r="S69" s="52" t="n"/>
    </row>
    <row r="70" ht="15" customHeight="1" s="35">
      <c r="A70" s="43" t="n"/>
      <c r="B70" s="47" t="n"/>
      <c r="C70" s="47" t="n"/>
      <c r="D70" s="43" t="n"/>
      <c r="E70" s="43" t="n"/>
      <c r="F70" s="43" t="n"/>
      <c r="G70" s="43" t="n"/>
      <c r="H70" s="43" t="n"/>
      <c r="I70" s="47" t="n"/>
      <c r="J70" s="48" t="n"/>
      <c r="K70" s="43" t="n"/>
      <c r="L70" s="43" t="n"/>
      <c r="M70" s="43" t="n"/>
      <c r="N70" s="49">
        <f>IF(A70="","",COUNTIFS('Results Log'!$A$5:$A$404,A70,'Results Log'!$B$5:$B$404,"Expected"))</f>
        <v/>
      </c>
      <c r="O70" s="50" t="n"/>
      <c r="P70" s="51" t="n"/>
      <c r="Q70" s="50" t="n"/>
      <c r="R70" s="43" t="n"/>
      <c r="S70" s="52" t="n"/>
    </row>
    <row r="71" ht="15" customHeight="1" s="35">
      <c r="A71" s="43" t="n"/>
      <c r="B71" s="47" t="n"/>
      <c r="C71" s="47" t="n"/>
      <c r="D71" s="43" t="n"/>
      <c r="E71" s="43" t="n"/>
      <c r="F71" s="43" t="n"/>
      <c r="G71" s="43" t="n"/>
      <c r="H71" s="43" t="n"/>
      <c r="I71" s="47" t="n"/>
      <c r="J71" s="48" t="n"/>
      <c r="K71" s="43" t="n"/>
      <c r="L71" s="43" t="n"/>
      <c r="M71" s="43" t="n"/>
      <c r="N71" s="49">
        <f>IF(A71="","",COUNTIFS('Results Log'!$A$5:$A$404,A71,'Results Log'!$B$5:$B$404,"Expected"))</f>
        <v/>
      </c>
      <c r="O71" s="50" t="n"/>
      <c r="P71" s="51" t="n"/>
      <c r="Q71" s="50" t="n"/>
      <c r="R71" s="43" t="n"/>
      <c r="S71" s="52" t="n"/>
    </row>
    <row r="72" ht="15" customHeight="1" s="35">
      <c r="A72" s="43" t="n"/>
      <c r="B72" s="47" t="n"/>
      <c r="C72" s="47" t="n"/>
      <c r="D72" s="43" t="n"/>
      <c r="E72" s="43" t="n"/>
      <c r="F72" s="43" t="n"/>
      <c r="G72" s="43" t="n"/>
      <c r="H72" s="43" t="n"/>
      <c r="I72" s="47" t="n"/>
      <c r="J72" s="48" t="n"/>
      <c r="K72" s="43" t="n"/>
      <c r="L72" s="43" t="n"/>
      <c r="M72" s="43" t="n"/>
      <c r="N72" s="49">
        <f>IF(A72="","",COUNTIFS('Results Log'!$A$5:$A$404,A72,'Results Log'!$B$5:$B$404,"Expected"))</f>
        <v/>
      </c>
      <c r="O72" s="50" t="n"/>
      <c r="P72" s="51" t="n"/>
      <c r="Q72" s="50" t="n"/>
      <c r="R72" s="43" t="n"/>
      <c r="S72" s="52" t="n"/>
    </row>
    <row r="73" ht="15" customHeight="1" s="35">
      <c r="A73" s="43" t="n"/>
      <c r="B73" s="47" t="n"/>
      <c r="C73" s="47" t="n"/>
      <c r="D73" s="43" t="n"/>
      <c r="E73" s="43" t="n"/>
      <c r="F73" s="43" t="n"/>
      <c r="G73" s="43" t="n"/>
      <c r="H73" s="43" t="n"/>
      <c r="I73" s="47" t="n"/>
      <c r="J73" s="48" t="n"/>
      <c r="K73" s="43" t="n"/>
      <c r="L73" s="43" t="n"/>
      <c r="M73" s="43" t="n"/>
      <c r="N73" s="49">
        <f>IF(A73="","",COUNTIFS('Results Log'!$A$5:$A$404,A73,'Results Log'!$B$5:$B$404,"Expected"))</f>
        <v/>
      </c>
      <c r="O73" s="50" t="n"/>
      <c r="P73" s="51" t="n"/>
      <c r="Q73" s="50" t="n"/>
      <c r="R73" s="43" t="n"/>
      <c r="S73" s="52" t="n"/>
    </row>
    <row r="74" ht="15" customHeight="1" s="35">
      <c r="A74" s="43" t="n"/>
      <c r="B74" s="47" t="n"/>
      <c r="C74" s="47" t="n"/>
      <c r="D74" s="43" t="n"/>
      <c r="E74" s="43" t="n"/>
      <c r="F74" s="43" t="n"/>
      <c r="G74" s="43" t="n"/>
      <c r="H74" s="43" t="n"/>
      <c r="I74" s="47" t="n"/>
      <c r="J74" s="48" t="n"/>
      <c r="K74" s="43" t="n"/>
      <c r="L74" s="43" t="n"/>
      <c r="M74" s="43" t="n"/>
      <c r="N74" s="49">
        <f>IF(A74="","",COUNTIFS('Results Log'!$A$5:$A$404,A74,'Results Log'!$B$5:$B$404,"Expected"))</f>
        <v/>
      </c>
      <c r="O74" s="50" t="n"/>
      <c r="P74" s="51" t="n"/>
      <c r="Q74" s="50" t="n"/>
      <c r="R74" s="43" t="n"/>
      <c r="S74" s="52" t="n"/>
    </row>
    <row r="75" ht="15" customHeight="1" s="35">
      <c r="A75" s="43" t="n"/>
      <c r="B75" s="47" t="n"/>
      <c r="C75" s="47" t="n"/>
      <c r="D75" s="43" t="n"/>
      <c r="E75" s="43" t="n"/>
      <c r="F75" s="43" t="n"/>
      <c r="G75" s="43" t="n"/>
      <c r="H75" s="43" t="n"/>
      <c r="I75" s="47" t="n"/>
      <c r="J75" s="48" t="n"/>
      <c r="K75" s="43" t="n"/>
      <c r="L75" s="43" t="n"/>
      <c r="M75" s="43" t="n"/>
      <c r="N75" s="49">
        <f>IF(A75="","",COUNTIFS('Results Log'!$A$5:$A$404,A75,'Results Log'!$B$5:$B$404,"Expected"))</f>
        <v/>
      </c>
      <c r="O75" s="50" t="n"/>
      <c r="P75" s="51" t="n"/>
      <c r="Q75" s="50" t="n"/>
      <c r="R75" s="43" t="n"/>
      <c r="S75" s="52" t="n"/>
    </row>
    <row r="76" ht="15" customHeight="1" s="35">
      <c r="A76" s="43" t="n"/>
      <c r="B76" s="47" t="n"/>
      <c r="C76" s="47" t="n"/>
      <c r="D76" s="43" t="n"/>
      <c r="E76" s="43" t="n"/>
      <c r="F76" s="43" t="n"/>
      <c r="G76" s="43" t="n"/>
      <c r="H76" s="43" t="n"/>
      <c r="I76" s="47" t="n"/>
      <c r="J76" s="48" t="n"/>
      <c r="K76" s="43" t="n"/>
      <c r="L76" s="43" t="n"/>
      <c r="M76" s="43" t="n"/>
      <c r="N76" s="49">
        <f>IF(A76="","",COUNTIFS('Results Log'!$A$5:$A$404,A76,'Results Log'!$B$5:$B$404,"Expected"))</f>
        <v/>
      </c>
      <c r="O76" s="50" t="n"/>
      <c r="P76" s="51" t="n"/>
      <c r="Q76" s="50" t="n"/>
      <c r="R76" s="43" t="n"/>
      <c r="S76" s="52" t="n"/>
    </row>
    <row r="77" ht="15" customHeight="1" s="35">
      <c r="A77" s="43" t="n"/>
      <c r="B77" s="47" t="n"/>
      <c r="C77" s="47" t="n"/>
      <c r="D77" s="43" t="n"/>
      <c r="E77" s="43" t="n"/>
      <c r="F77" s="43" t="n"/>
      <c r="G77" s="43" t="n"/>
      <c r="H77" s="43" t="n"/>
      <c r="I77" s="47" t="n"/>
      <c r="J77" s="48" t="n"/>
      <c r="K77" s="43" t="n"/>
      <c r="L77" s="43" t="n"/>
      <c r="M77" s="43" t="n"/>
      <c r="N77" s="49">
        <f>IF(A77="","",COUNTIFS('Results Log'!$A$5:$A$404,A77,'Results Log'!$B$5:$B$404,"Expected"))</f>
        <v/>
      </c>
      <c r="O77" s="50" t="n"/>
      <c r="P77" s="51" t="n"/>
      <c r="Q77" s="50" t="n"/>
      <c r="R77" s="43" t="n"/>
      <c r="S77" s="52" t="n"/>
    </row>
    <row r="78" ht="15" customHeight="1" s="35">
      <c r="A78" s="43" t="n"/>
      <c r="B78" s="47" t="n"/>
      <c r="C78" s="47" t="n"/>
      <c r="D78" s="43" t="n"/>
      <c r="E78" s="43" t="n"/>
      <c r="F78" s="43" t="n"/>
      <c r="G78" s="43" t="n"/>
      <c r="H78" s="43" t="n"/>
      <c r="I78" s="47" t="n"/>
      <c r="J78" s="48" t="n"/>
      <c r="K78" s="43" t="n"/>
      <c r="L78" s="43" t="n"/>
      <c r="M78" s="43" t="n"/>
      <c r="N78" s="49">
        <f>IF(A78="","",COUNTIFS('Results Log'!$A$5:$A$404,A78,'Results Log'!$B$5:$B$404,"Expected"))</f>
        <v/>
      </c>
      <c r="O78" s="50" t="n"/>
      <c r="P78" s="51" t="n"/>
      <c r="Q78" s="50" t="n"/>
      <c r="R78" s="43" t="n"/>
      <c r="S78" s="52" t="n"/>
    </row>
    <row r="79" ht="15" customHeight="1" s="35">
      <c r="A79" s="43" t="n"/>
      <c r="B79" s="47" t="n"/>
      <c r="C79" s="47" t="n"/>
      <c r="D79" s="43" t="n"/>
      <c r="E79" s="43" t="n"/>
      <c r="F79" s="43" t="n"/>
      <c r="G79" s="43" t="n"/>
      <c r="H79" s="43" t="n"/>
      <c r="I79" s="47" t="n"/>
      <c r="J79" s="48" t="n"/>
      <c r="K79" s="43" t="n"/>
      <c r="L79" s="43" t="n"/>
      <c r="M79" s="43" t="n"/>
      <c r="N79" s="49">
        <f>IF(A79="","",COUNTIFS('Results Log'!$A$5:$A$404,A79,'Results Log'!$B$5:$B$404,"Expected"))</f>
        <v/>
      </c>
      <c r="O79" s="50" t="n"/>
      <c r="P79" s="51" t="n"/>
      <c r="Q79" s="50" t="n"/>
      <c r="R79" s="43" t="n"/>
      <c r="S79" s="52" t="n"/>
    </row>
    <row r="80" ht="15" customHeight="1" s="35">
      <c r="A80" s="43" t="n"/>
      <c r="B80" s="47" t="n"/>
      <c r="C80" s="47" t="n"/>
      <c r="D80" s="43" t="n"/>
      <c r="E80" s="43" t="n"/>
      <c r="F80" s="43" t="n"/>
      <c r="G80" s="43" t="n"/>
      <c r="H80" s="43" t="n"/>
      <c r="I80" s="47" t="n"/>
      <c r="J80" s="48" t="n"/>
      <c r="K80" s="43" t="n"/>
      <c r="L80" s="43" t="n"/>
      <c r="M80" s="43" t="n"/>
      <c r="N80" s="49">
        <f>IF(A80="","",COUNTIFS('Results Log'!$A$5:$A$404,A80,'Results Log'!$B$5:$B$404,"Expected"))</f>
        <v/>
      </c>
      <c r="O80" s="50" t="n"/>
      <c r="P80" s="51" t="n"/>
      <c r="Q80" s="50" t="n"/>
      <c r="R80" s="43" t="n"/>
      <c r="S80" s="52" t="n"/>
    </row>
    <row r="81" ht="15" customHeight="1" s="35">
      <c r="A81" s="43" t="n"/>
      <c r="B81" s="47" t="n"/>
      <c r="C81" s="47" t="n"/>
      <c r="D81" s="43" t="n"/>
      <c r="E81" s="43" t="n"/>
      <c r="F81" s="43" t="n"/>
      <c r="G81" s="43" t="n"/>
      <c r="H81" s="43" t="n"/>
      <c r="I81" s="47" t="n"/>
      <c r="J81" s="48" t="n"/>
      <c r="K81" s="43" t="n"/>
      <c r="L81" s="43" t="n"/>
      <c r="M81" s="43" t="n"/>
      <c r="N81" s="49">
        <f>IF(A81="","",COUNTIFS('Results Log'!$A$5:$A$404,A81,'Results Log'!$B$5:$B$404,"Expected"))</f>
        <v/>
      </c>
      <c r="O81" s="50" t="n"/>
      <c r="P81" s="51" t="n"/>
      <c r="Q81" s="50" t="n"/>
      <c r="R81" s="43" t="n"/>
      <c r="S81" s="52" t="n"/>
    </row>
    <row r="82" ht="15" customHeight="1" s="35">
      <c r="A82" s="43" t="n"/>
      <c r="B82" s="47" t="n"/>
      <c r="C82" s="47" t="n"/>
      <c r="D82" s="43" t="n"/>
      <c r="E82" s="43" t="n"/>
      <c r="F82" s="43" t="n"/>
      <c r="G82" s="43" t="n"/>
      <c r="H82" s="43" t="n"/>
      <c r="I82" s="47" t="n"/>
      <c r="J82" s="48" t="n"/>
      <c r="K82" s="43" t="n"/>
      <c r="L82" s="43" t="n"/>
      <c r="M82" s="43" t="n"/>
      <c r="N82" s="49">
        <f>IF(A82="","",COUNTIFS('Results Log'!$A$5:$A$404,A82,'Results Log'!$B$5:$B$404,"Expected"))</f>
        <v/>
      </c>
      <c r="O82" s="50" t="n"/>
      <c r="P82" s="51" t="n"/>
      <c r="Q82" s="50" t="n"/>
      <c r="R82" s="43" t="n"/>
      <c r="S82" s="52" t="n"/>
    </row>
    <row r="83" ht="15" customHeight="1" s="35">
      <c r="A83" s="43" t="n"/>
      <c r="B83" s="47" t="n"/>
      <c r="C83" s="47" t="n"/>
      <c r="D83" s="43" t="n"/>
      <c r="E83" s="43" t="n"/>
      <c r="F83" s="43" t="n"/>
      <c r="G83" s="43" t="n"/>
      <c r="H83" s="43" t="n"/>
      <c r="I83" s="47" t="n"/>
      <c r="J83" s="48" t="n"/>
      <c r="K83" s="43" t="n"/>
      <c r="L83" s="43" t="n"/>
      <c r="M83" s="43" t="n"/>
      <c r="N83" s="49">
        <f>IF(A83="","",COUNTIFS('Results Log'!$A$5:$A$404,A83,'Results Log'!$B$5:$B$404,"Expected"))</f>
        <v/>
      </c>
      <c r="O83" s="50" t="n"/>
      <c r="P83" s="51" t="n"/>
      <c r="Q83" s="50" t="n"/>
      <c r="R83" s="43" t="n"/>
      <c r="S83" s="52" t="n"/>
    </row>
    <row r="84" ht="15" customHeight="1" s="35">
      <c r="A84" s="43" t="n"/>
      <c r="B84" s="47" t="n"/>
      <c r="C84" s="47" t="n"/>
      <c r="D84" s="43" t="n"/>
      <c r="E84" s="43" t="n"/>
      <c r="F84" s="43" t="n"/>
      <c r="G84" s="43" t="n"/>
      <c r="H84" s="43" t="n"/>
      <c r="I84" s="47" t="n"/>
      <c r="J84" s="48" t="n"/>
      <c r="K84" s="43" t="n"/>
      <c r="L84" s="43" t="n"/>
      <c r="M84" s="43" t="n"/>
      <c r="N84" s="49">
        <f>IF(A84="","",COUNTIFS('Results Log'!$A$5:$A$404,A84,'Results Log'!$B$5:$B$404,"Expected"))</f>
        <v/>
      </c>
      <c r="O84" s="50" t="n"/>
      <c r="P84" s="51" t="n"/>
      <c r="Q84" s="50" t="n"/>
      <c r="R84" s="43" t="n"/>
      <c r="S84" s="52" t="n"/>
    </row>
    <row r="85" ht="15" customHeight="1" s="35">
      <c r="A85" s="43" t="n"/>
      <c r="B85" s="47" t="n"/>
      <c r="C85" s="47" t="n"/>
      <c r="D85" s="43" t="n"/>
      <c r="E85" s="43" t="n"/>
      <c r="F85" s="43" t="n"/>
      <c r="G85" s="43" t="n"/>
      <c r="H85" s="43" t="n"/>
      <c r="I85" s="47" t="n"/>
      <c r="J85" s="48" t="n"/>
      <c r="K85" s="43" t="n"/>
      <c r="L85" s="43" t="n"/>
      <c r="M85" s="43" t="n"/>
      <c r="N85" s="49">
        <f>IF(A85="","",COUNTIFS('Results Log'!$A$5:$A$404,A85,'Results Log'!$B$5:$B$404,"Expected"))</f>
        <v/>
      </c>
      <c r="O85" s="50" t="n"/>
      <c r="P85" s="51" t="n"/>
      <c r="Q85" s="50" t="n"/>
      <c r="R85" s="43" t="n"/>
      <c r="S85" s="52" t="n"/>
    </row>
    <row r="86" ht="15" customHeight="1" s="35">
      <c r="A86" s="43" t="n"/>
      <c r="B86" s="47" t="n"/>
      <c r="C86" s="47" t="n"/>
      <c r="D86" s="43" t="n"/>
      <c r="E86" s="43" t="n"/>
      <c r="F86" s="43" t="n"/>
      <c r="G86" s="43" t="n"/>
      <c r="H86" s="43" t="n"/>
      <c r="I86" s="47" t="n"/>
      <c r="J86" s="48" t="n"/>
      <c r="K86" s="43" t="n"/>
      <c r="L86" s="43" t="n"/>
      <c r="M86" s="43" t="n"/>
      <c r="N86" s="49">
        <f>IF(A86="","",COUNTIFS('Results Log'!$A$5:$A$404,A86,'Results Log'!$B$5:$B$404,"Expected"))</f>
        <v/>
      </c>
      <c r="O86" s="50" t="n"/>
      <c r="P86" s="51" t="n"/>
      <c r="Q86" s="50" t="n"/>
      <c r="R86" s="43" t="n"/>
      <c r="S86" s="52" t="n"/>
    </row>
    <row r="87" ht="15" customHeight="1" s="35">
      <c r="A87" s="43" t="n"/>
      <c r="B87" s="47" t="n"/>
      <c r="C87" s="47" t="n"/>
      <c r="D87" s="43" t="n"/>
      <c r="E87" s="43" t="n"/>
      <c r="F87" s="43" t="n"/>
      <c r="G87" s="43" t="n"/>
      <c r="H87" s="43" t="n"/>
      <c r="I87" s="47" t="n"/>
      <c r="J87" s="48" t="n"/>
      <c r="K87" s="43" t="n"/>
      <c r="L87" s="43" t="n"/>
      <c r="M87" s="43" t="n"/>
      <c r="N87" s="49">
        <f>IF(A87="","",COUNTIFS('Results Log'!$A$5:$A$404,A87,'Results Log'!$B$5:$B$404,"Expected"))</f>
        <v/>
      </c>
      <c r="O87" s="50" t="n"/>
      <c r="P87" s="51" t="n"/>
      <c r="Q87" s="50" t="n"/>
      <c r="R87" s="43" t="n"/>
      <c r="S87" s="52" t="n"/>
    </row>
    <row r="88" ht="15" customHeight="1" s="35">
      <c r="A88" s="43" t="n"/>
      <c r="B88" s="47" t="n"/>
      <c r="C88" s="47" t="n"/>
      <c r="D88" s="43" t="n"/>
      <c r="E88" s="43" t="n"/>
      <c r="F88" s="43" t="n"/>
      <c r="G88" s="43" t="n"/>
      <c r="H88" s="43" t="n"/>
      <c r="I88" s="47" t="n"/>
      <c r="J88" s="48" t="n"/>
      <c r="K88" s="43" t="n"/>
      <c r="L88" s="43" t="n"/>
      <c r="M88" s="43" t="n"/>
      <c r="N88" s="49">
        <f>IF(A88="","",COUNTIFS('Results Log'!$A$5:$A$404,A88,'Results Log'!$B$5:$B$404,"Expected"))</f>
        <v/>
      </c>
      <c r="O88" s="50" t="n"/>
      <c r="P88" s="51" t="n"/>
      <c r="Q88" s="50" t="n"/>
      <c r="R88" s="43" t="n"/>
      <c r="S88" s="52" t="n"/>
    </row>
    <row r="89" ht="15" customHeight="1" s="35">
      <c r="A89" s="43" t="n"/>
      <c r="B89" s="47" t="n"/>
      <c r="C89" s="47" t="n"/>
      <c r="D89" s="43" t="n"/>
      <c r="E89" s="43" t="n"/>
      <c r="F89" s="43" t="n"/>
      <c r="G89" s="43" t="n"/>
      <c r="H89" s="43" t="n"/>
      <c r="I89" s="47" t="n"/>
      <c r="J89" s="48" t="n"/>
      <c r="K89" s="43" t="n"/>
      <c r="L89" s="43" t="n"/>
      <c r="M89" s="43" t="n"/>
      <c r="N89" s="49">
        <f>IF(A89="","",COUNTIFS('Results Log'!$A$5:$A$404,A89,'Results Log'!$B$5:$B$404,"Expected"))</f>
        <v/>
      </c>
      <c r="O89" s="50" t="n"/>
      <c r="P89" s="51" t="n"/>
      <c r="Q89" s="50" t="n"/>
      <c r="R89" s="43" t="n"/>
      <c r="S89" s="52" t="n"/>
    </row>
    <row r="90" ht="15" customHeight="1" s="35">
      <c r="A90" s="43" t="n"/>
      <c r="B90" s="47" t="n"/>
      <c r="C90" s="47" t="n"/>
      <c r="D90" s="43" t="n"/>
      <c r="E90" s="43" t="n"/>
      <c r="F90" s="43" t="n"/>
      <c r="G90" s="43" t="n"/>
      <c r="H90" s="43" t="n"/>
      <c r="I90" s="47" t="n"/>
      <c r="J90" s="48" t="n"/>
      <c r="K90" s="43" t="n"/>
      <c r="L90" s="43" t="n"/>
      <c r="M90" s="43" t="n"/>
      <c r="N90" s="49">
        <f>IF(A90="","",COUNTIFS('Results Log'!$A$5:$A$404,A90,'Results Log'!$B$5:$B$404,"Expected"))</f>
        <v/>
      </c>
      <c r="O90" s="50" t="n"/>
      <c r="P90" s="51" t="n"/>
      <c r="Q90" s="50" t="n"/>
      <c r="R90" s="43" t="n"/>
      <c r="S90" s="52" t="n"/>
    </row>
    <row r="91" ht="15" customHeight="1" s="35">
      <c r="A91" s="43" t="n"/>
      <c r="B91" s="47" t="n"/>
      <c r="C91" s="47" t="n"/>
      <c r="D91" s="43" t="n"/>
      <c r="E91" s="43" t="n"/>
      <c r="F91" s="43" t="n"/>
      <c r="G91" s="43" t="n"/>
      <c r="H91" s="43" t="n"/>
      <c r="I91" s="47" t="n"/>
      <c r="J91" s="48" t="n"/>
      <c r="K91" s="43" t="n"/>
      <c r="L91" s="43" t="n"/>
      <c r="M91" s="43" t="n"/>
      <c r="N91" s="49">
        <f>IF(A91="","",COUNTIFS('Results Log'!$A$5:$A$404,A91,'Results Log'!$B$5:$B$404,"Expected"))</f>
        <v/>
      </c>
      <c r="O91" s="50" t="n"/>
      <c r="P91" s="51" t="n"/>
      <c r="Q91" s="50" t="n"/>
      <c r="R91" s="43" t="n"/>
      <c r="S91" s="52" t="n"/>
    </row>
    <row r="92" ht="15" customHeight="1" s="35">
      <c r="A92" s="43" t="n"/>
      <c r="B92" s="47" t="n"/>
      <c r="C92" s="47" t="n"/>
      <c r="D92" s="43" t="n"/>
      <c r="E92" s="43" t="n"/>
      <c r="F92" s="43" t="n"/>
      <c r="G92" s="43" t="n"/>
      <c r="H92" s="43" t="n"/>
      <c r="I92" s="47" t="n"/>
      <c r="J92" s="48" t="n"/>
      <c r="K92" s="43" t="n"/>
      <c r="L92" s="43" t="n"/>
      <c r="M92" s="43" t="n"/>
      <c r="N92" s="49">
        <f>IF(A92="","",COUNTIFS('Results Log'!$A$5:$A$404,A92,'Results Log'!$B$5:$B$404,"Expected"))</f>
        <v/>
      </c>
      <c r="O92" s="50" t="n"/>
      <c r="P92" s="51" t="n"/>
      <c r="Q92" s="50" t="n"/>
      <c r="R92" s="43" t="n"/>
      <c r="S92" s="52" t="n"/>
    </row>
    <row r="93" ht="15" customHeight="1" s="35">
      <c r="A93" s="43" t="n"/>
      <c r="B93" s="47" t="n"/>
      <c r="C93" s="47" t="n"/>
      <c r="D93" s="43" t="n"/>
      <c r="E93" s="43" t="n"/>
      <c r="F93" s="43" t="n"/>
      <c r="G93" s="43" t="n"/>
      <c r="H93" s="43" t="n"/>
      <c r="I93" s="47" t="n"/>
      <c r="J93" s="48" t="n"/>
      <c r="K93" s="43" t="n"/>
      <c r="L93" s="43" t="n"/>
      <c r="M93" s="43" t="n"/>
      <c r="N93" s="49">
        <f>IF(A93="","",COUNTIFS('Results Log'!$A$5:$A$404,A93,'Results Log'!$B$5:$B$404,"Expected"))</f>
        <v/>
      </c>
      <c r="O93" s="50" t="n"/>
      <c r="P93" s="51" t="n"/>
      <c r="Q93" s="50" t="n"/>
      <c r="R93" s="43" t="n"/>
      <c r="S93" s="52" t="n"/>
    </row>
    <row r="94" ht="15" customHeight="1" s="35">
      <c r="A94" s="43" t="n"/>
      <c r="B94" s="47" t="n"/>
      <c r="C94" s="47" t="n"/>
      <c r="D94" s="43" t="n"/>
      <c r="E94" s="43" t="n"/>
      <c r="F94" s="43" t="n"/>
      <c r="G94" s="43" t="n"/>
      <c r="H94" s="43" t="n"/>
      <c r="I94" s="47" t="n"/>
      <c r="J94" s="48" t="n"/>
      <c r="K94" s="43" t="n"/>
      <c r="L94" s="43" t="n"/>
      <c r="M94" s="43" t="n"/>
      <c r="N94" s="49">
        <f>IF(A94="","",COUNTIFS('Results Log'!$A$5:$A$404,A94,'Results Log'!$B$5:$B$404,"Expected"))</f>
        <v/>
      </c>
      <c r="O94" s="50" t="n"/>
      <c r="P94" s="51" t="n"/>
      <c r="Q94" s="50" t="n"/>
      <c r="R94" s="43" t="n"/>
      <c r="S94" s="52" t="n"/>
    </row>
    <row r="95" ht="15" customHeight="1" s="35">
      <c r="A95" s="43" t="n"/>
      <c r="B95" s="47" t="n"/>
      <c r="C95" s="47" t="n"/>
      <c r="D95" s="43" t="n"/>
      <c r="E95" s="43" t="n"/>
      <c r="F95" s="43" t="n"/>
      <c r="G95" s="43" t="n"/>
      <c r="H95" s="43" t="n"/>
      <c r="I95" s="47" t="n"/>
      <c r="J95" s="48" t="n"/>
      <c r="K95" s="43" t="n"/>
      <c r="L95" s="43" t="n"/>
      <c r="M95" s="43" t="n"/>
      <c r="N95" s="49">
        <f>IF(A95="","",COUNTIFS('Results Log'!$A$5:$A$404,A95,'Results Log'!$B$5:$B$404,"Expected"))</f>
        <v/>
      </c>
      <c r="O95" s="50" t="n"/>
      <c r="P95" s="51" t="n"/>
      <c r="Q95" s="50" t="n"/>
      <c r="R95" s="43" t="n"/>
      <c r="S95" s="52" t="n"/>
    </row>
    <row r="96" ht="15" customHeight="1" s="35">
      <c r="A96" s="43" t="n"/>
      <c r="B96" s="47" t="n"/>
      <c r="C96" s="47" t="n"/>
      <c r="D96" s="43" t="n"/>
      <c r="E96" s="43" t="n"/>
      <c r="F96" s="43" t="n"/>
      <c r="G96" s="43" t="n"/>
      <c r="H96" s="43" t="n"/>
      <c r="I96" s="47" t="n"/>
      <c r="J96" s="48" t="n"/>
      <c r="K96" s="43" t="n"/>
      <c r="L96" s="43" t="n"/>
      <c r="M96" s="43" t="n"/>
      <c r="N96" s="49">
        <f>IF(A96="","",COUNTIFS('Results Log'!$A$5:$A$404,A96,'Results Log'!$B$5:$B$404,"Expected"))</f>
        <v/>
      </c>
      <c r="O96" s="50" t="n"/>
      <c r="P96" s="51" t="n"/>
      <c r="Q96" s="50" t="n"/>
      <c r="R96" s="43" t="n"/>
      <c r="S96" s="52" t="n"/>
    </row>
    <row r="97" ht="15" customHeight="1" s="35">
      <c r="A97" s="43" t="n"/>
      <c r="B97" s="47" t="n"/>
      <c r="C97" s="47" t="n"/>
      <c r="D97" s="43" t="n"/>
      <c r="E97" s="43" t="n"/>
      <c r="F97" s="43" t="n"/>
      <c r="G97" s="43" t="n"/>
      <c r="H97" s="43" t="n"/>
      <c r="I97" s="47" t="n"/>
      <c r="J97" s="48" t="n"/>
      <c r="K97" s="43" t="n"/>
      <c r="L97" s="43" t="n"/>
      <c r="M97" s="43" t="n"/>
      <c r="N97" s="49">
        <f>IF(A97="","",COUNTIFS('Results Log'!$A$5:$A$404,A97,'Results Log'!$B$5:$B$404,"Expected"))</f>
        <v/>
      </c>
      <c r="O97" s="50" t="n"/>
      <c r="P97" s="51" t="n"/>
      <c r="Q97" s="50" t="n"/>
      <c r="R97" s="43" t="n"/>
      <c r="S97" s="52" t="n"/>
    </row>
    <row r="98" ht="15" customHeight="1" s="35">
      <c r="A98" s="43" t="n"/>
      <c r="B98" s="47" t="n"/>
      <c r="C98" s="47" t="n"/>
      <c r="D98" s="43" t="n"/>
      <c r="E98" s="43" t="n"/>
      <c r="F98" s="43" t="n"/>
      <c r="G98" s="43" t="n"/>
      <c r="H98" s="43" t="n"/>
      <c r="I98" s="47" t="n"/>
      <c r="J98" s="48" t="n"/>
      <c r="K98" s="43" t="n"/>
      <c r="L98" s="43" t="n"/>
      <c r="M98" s="43" t="n"/>
      <c r="N98" s="49">
        <f>IF(A98="","",COUNTIFS('Results Log'!$A$5:$A$404,A98,'Results Log'!$B$5:$B$404,"Expected"))</f>
        <v/>
      </c>
      <c r="O98" s="50" t="n"/>
      <c r="P98" s="51" t="n"/>
      <c r="Q98" s="50" t="n"/>
      <c r="R98" s="43" t="n"/>
      <c r="S98" s="52" t="n"/>
    </row>
    <row r="99" ht="15" customHeight="1" s="35">
      <c r="A99" s="43" t="n"/>
      <c r="B99" s="47" t="n"/>
      <c r="C99" s="47" t="n"/>
      <c r="D99" s="43" t="n"/>
      <c r="E99" s="43" t="n"/>
      <c r="F99" s="43" t="n"/>
      <c r="G99" s="43" t="n"/>
      <c r="H99" s="43" t="n"/>
      <c r="I99" s="47" t="n"/>
      <c r="J99" s="48" t="n"/>
      <c r="K99" s="43" t="n"/>
      <c r="L99" s="43" t="n"/>
      <c r="M99" s="43" t="n"/>
      <c r="N99" s="49">
        <f>IF(A99="","",COUNTIFS('Results Log'!$A$5:$A$404,A99,'Results Log'!$B$5:$B$404,"Expected"))</f>
        <v/>
      </c>
      <c r="O99" s="50" t="n"/>
      <c r="P99" s="51" t="n"/>
      <c r="Q99" s="50" t="n"/>
      <c r="R99" s="43" t="n"/>
      <c r="S99" s="52" t="n"/>
    </row>
    <row r="100" ht="15" customHeight="1" s="35">
      <c r="A100" s="43" t="n"/>
      <c r="B100" s="47" t="n"/>
      <c r="C100" s="47" t="n"/>
      <c r="D100" s="43" t="n"/>
      <c r="E100" s="43" t="n"/>
      <c r="F100" s="43" t="n"/>
      <c r="G100" s="43" t="n"/>
      <c r="H100" s="43" t="n"/>
      <c r="I100" s="47" t="n"/>
      <c r="J100" s="48" t="n"/>
      <c r="K100" s="43" t="n"/>
      <c r="L100" s="43" t="n"/>
      <c r="M100" s="43" t="n"/>
      <c r="N100" s="49">
        <f>IF(A100="","",COUNTIFS('Results Log'!$A$5:$A$404,A100,'Results Log'!$B$5:$B$404,"Expected"))</f>
        <v/>
      </c>
      <c r="O100" s="50" t="n"/>
      <c r="P100" s="51" t="n"/>
      <c r="Q100" s="50" t="n"/>
      <c r="R100" s="43" t="n"/>
      <c r="S100" s="52" t="n"/>
    </row>
    <row r="101" ht="15" customHeight="1" s="35">
      <c r="A101" s="43" t="n"/>
      <c r="B101" s="47" t="n"/>
      <c r="C101" s="47" t="n"/>
      <c r="D101" s="43" t="n"/>
      <c r="E101" s="43" t="n"/>
      <c r="F101" s="43" t="n"/>
      <c r="G101" s="43" t="n"/>
      <c r="H101" s="43" t="n"/>
      <c r="I101" s="47" t="n"/>
      <c r="J101" s="48" t="n"/>
      <c r="K101" s="43" t="n"/>
      <c r="L101" s="43" t="n"/>
      <c r="M101" s="43" t="n"/>
      <c r="N101" s="49">
        <f>IF(A101="","",COUNTIFS('Results Log'!$A$5:$A$404,A101,'Results Log'!$B$5:$B$404,"Expected"))</f>
        <v/>
      </c>
      <c r="O101" s="50" t="n"/>
      <c r="P101" s="51" t="n"/>
      <c r="Q101" s="50" t="n"/>
      <c r="R101" s="43" t="n"/>
      <c r="S101" s="52" t="n"/>
    </row>
    <row r="102" ht="15" customHeight="1" s="35">
      <c r="A102" s="43" t="n"/>
      <c r="B102" s="47" t="n"/>
      <c r="C102" s="47" t="n"/>
      <c r="D102" s="43" t="n"/>
      <c r="E102" s="43" t="n"/>
      <c r="F102" s="43" t="n"/>
      <c r="G102" s="43" t="n"/>
      <c r="H102" s="43" t="n"/>
      <c r="I102" s="47" t="n"/>
      <c r="J102" s="48" t="n"/>
      <c r="K102" s="43" t="n"/>
      <c r="L102" s="43" t="n"/>
      <c r="M102" s="43" t="n"/>
      <c r="N102" s="49">
        <f>IF(A102="","",COUNTIFS('Results Log'!$A$5:$A$404,A102,'Results Log'!$B$5:$B$404,"Expected"))</f>
        <v/>
      </c>
      <c r="O102" s="50" t="n"/>
      <c r="P102" s="51" t="n"/>
      <c r="Q102" s="50" t="n"/>
      <c r="R102" s="43" t="n"/>
      <c r="S102" s="52" t="n"/>
    </row>
    <row r="103" ht="15" customHeight="1" s="35">
      <c r="A103" s="43" t="n"/>
      <c r="B103" s="47" t="n"/>
      <c r="C103" s="47" t="n"/>
      <c r="D103" s="43" t="n"/>
      <c r="E103" s="43" t="n"/>
      <c r="F103" s="43" t="n"/>
      <c r="G103" s="43" t="n"/>
      <c r="H103" s="43" t="n"/>
      <c r="I103" s="47" t="n"/>
      <c r="J103" s="48" t="n"/>
      <c r="K103" s="43" t="n"/>
      <c r="L103" s="43" t="n"/>
      <c r="M103" s="43" t="n"/>
      <c r="N103" s="49">
        <f>IF(A103="","",COUNTIFS('Results Log'!$A$5:$A$404,A103,'Results Log'!$B$5:$B$404,"Expected"))</f>
        <v/>
      </c>
      <c r="O103" s="50" t="n"/>
      <c r="P103" s="51" t="n"/>
      <c r="Q103" s="50" t="n"/>
      <c r="R103" s="43" t="n"/>
      <c r="S103" s="52" t="n"/>
    </row>
    <row r="104" ht="15" customHeight="1" s="35">
      <c r="A104" s="43" t="n"/>
      <c r="B104" s="47" t="n"/>
      <c r="C104" s="47" t="n"/>
      <c r="D104" s="43" t="n"/>
      <c r="E104" s="43" t="n"/>
      <c r="F104" s="43" t="n"/>
      <c r="G104" s="43" t="n"/>
      <c r="H104" s="43" t="n"/>
      <c r="I104" s="47" t="n"/>
      <c r="J104" s="48" t="n"/>
      <c r="K104" s="43" t="n"/>
      <c r="L104" s="43" t="n"/>
      <c r="M104" s="43" t="n"/>
      <c r="N104" s="49">
        <f>IF(A104="","",COUNTIFS('Results Log'!$A$5:$A$404,A104,'Results Log'!$B$5:$B$404,"Expected"))</f>
        <v/>
      </c>
      <c r="O104" s="50" t="n"/>
      <c r="P104" s="51" t="n"/>
      <c r="Q104" s="50" t="n"/>
      <c r="R104" s="43" t="n"/>
      <c r="S104" s="52" t="n"/>
    </row>
    <row r="105" ht="15" customHeight="1" s="35">
      <c r="A105" s="43" t="n"/>
      <c r="B105" s="47" t="n"/>
      <c r="C105" s="47" t="n"/>
      <c r="D105" s="43" t="n"/>
      <c r="E105" s="43" t="n"/>
      <c r="F105" s="43" t="n"/>
      <c r="G105" s="43" t="n"/>
      <c r="H105" s="43" t="n"/>
      <c r="I105" s="47" t="n"/>
      <c r="J105" s="48" t="n"/>
      <c r="K105" s="43" t="n"/>
      <c r="L105" s="43" t="n"/>
      <c r="M105" s="43" t="n"/>
      <c r="N105" s="49">
        <f>IF(A105="","",COUNTIFS('Results Log'!$A$5:$A$404,A105,'Results Log'!$B$5:$B$404,"Expected"))</f>
        <v/>
      </c>
      <c r="O105" s="50" t="n"/>
      <c r="P105" s="51" t="n"/>
      <c r="Q105" s="50" t="n"/>
      <c r="R105" s="43" t="n"/>
      <c r="S105" s="52" t="n"/>
    </row>
    <row r="106" ht="15" customHeight="1" s="35">
      <c r="A106" s="43" t="n"/>
      <c r="B106" s="47" t="n"/>
      <c r="C106" s="47" t="n"/>
      <c r="D106" s="43" t="n"/>
      <c r="E106" s="43" t="n"/>
      <c r="F106" s="43" t="n"/>
      <c r="G106" s="43" t="n"/>
      <c r="H106" s="43" t="n"/>
      <c r="I106" s="47" t="n"/>
      <c r="J106" s="48" t="n"/>
      <c r="K106" s="43" t="n"/>
      <c r="L106" s="43" t="n"/>
      <c r="M106" s="43" t="n"/>
      <c r="N106" s="49">
        <f>IF(A106="","",COUNTIFS('Results Log'!$A$5:$A$404,A106,'Results Log'!$B$5:$B$404,"Expected"))</f>
        <v/>
      </c>
      <c r="O106" s="50" t="n"/>
      <c r="P106" s="51" t="n"/>
      <c r="Q106" s="50" t="n"/>
      <c r="R106" s="43" t="n"/>
      <c r="S106" s="52" t="n"/>
    </row>
    <row r="107" ht="15" customHeight="1" s="35">
      <c r="A107" s="43" t="n"/>
      <c r="B107" s="47" t="n"/>
      <c r="C107" s="47" t="n"/>
      <c r="D107" s="43" t="n"/>
      <c r="E107" s="43" t="n"/>
      <c r="F107" s="43" t="n"/>
      <c r="G107" s="43" t="n"/>
      <c r="H107" s="43" t="n"/>
      <c r="I107" s="47" t="n"/>
      <c r="J107" s="48" t="n"/>
      <c r="K107" s="43" t="n"/>
      <c r="L107" s="43" t="n"/>
      <c r="M107" s="43" t="n"/>
      <c r="N107" s="49">
        <f>IF(A107="","",COUNTIFS('Results Log'!$A$5:$A$404,A107,'Results Log'!$B$5:$B$404,"Expected"))</f>
        <v/>
      </c>
      <c r="O107" s="50" t="n"/>
      <c r="P107" s="51" t="n"/>
      <c r="Q107" s="50" t="n"/>
      <c r="R107" s="43" t="n"/>
      <c r="S107" s="52" t="n"/>
    </row>
    <row r="108" ht="15" customHeight="1" s="35">
      <c r="A108" s="43" t="n"/>
      <c r="B108" s="47" t="n"/>
      <c r="C108" s="47" t="n"/>
      <c r="D108" s="43" t="n"/>
      <c r="E108" s="43" t="n"/>
      <c r="F108" s="43" t="n"/>
      <c r="G108" s="43" t="n"/>
      <c r="H108" s="43" t="n"/>
      <c r="I108" s="47" t="n"/>
      <c r="J108" s="48" t="n"/>
      <c r="K108" s="43" t="n"/>
      <c r="L108" s="43" t="n"/>
      <c r="M108" s="43" t="n"/>
      <c r="N108" s="49">
        <f>IF(A108="","",COUNTIFS('Results Log'!$A$5:$A$404,A108,'Results Log'!$B$5:$B$404,"Expected"))</f>
        <v/>
      </c>
      <c r="O108" s="50" t="n"/>
      <c r="P108" s="51" t="n"/>
      <c r="Q108" s="50" t="n"/>
      <c r="R108" s="43" t="n"/>
      <c r="S108" s="52" t="n"/>
    </row>
    <row r="109" ht="15" customHeight="1" s="35">
      <c r="A109" s="43" t="n"/>
      <c r="B109" s="47" t="n"/>
      <c r="C109" s="47" t="n"/>
      <c r="D109" s="43" t="n"/>
      <c r="E109" s="43" t="n"/>
      <c r="F109" s="43" t="n"/>
      <c r="G109" s="43" t="n"/>
      <c r="H109" s="43" t="n"/>
      <c r="I109" s="47" t="n"/>
      <c r="J109" s="48" t="n"/>
      <c r="K109" s="43" t="n"/>
      <c r="L109" s="43" t="n"/>
      <c r="M109" s="43" t="n"/>
      <c r="N109" s="49">
        <f>IF(A109="","",COUNTIFS('Results Log'!$A$5:$A$404,A109,'Results Log'!$B$5:$B$404,"Expected"))</f>
        <v/>
      </c>
      <c r="O109" s="50" t="n"/>
      <c r="P109" s="51" t="n"/>
      <c r="Q109" s="50" t="n"/>
      <c r="R109" s="43" t="n"/>
      <c r="S109" s="52" t="n"/>
    </row>
    <row r="110" ht="15" customHeight="1" s="35">
      <c r="A110" s="43" t="n"/>
      <c r="B110" s="47" t="n"/>
      <c r="C110" s="47" t="n"/>
      <c r="D110" s="43" t="n"/>
      <c r="E110" s="43" t="n"/>
      <c r="F110" s="43" t="n"/>
      <c r="G110" s="43" t="n"/>
      <c r="H110" s="43" t="n"/>
      <c r="I110" s="47" t="n"/>
      <c r="J110" s="48" t="n"/>
      <c r="K110" s="43" t="n"/>
      <c r="L110" s="43" t="n"/>
      <c r="M110" s="43" t="n"/>
      <c r="N110" s="49">
        <f>IF(A110="","",COUNTIFS('Results Log'!$A$5:$A$404,A110,'Results Log'!$B$5:$B$404,"Expected"))</f>
        <v/>
      </c>
      <c r="O110" s="50" t="n"/>
      <c r="P110" s="51" t="n"/>
      <c r="Q110" s="50" t="n"/>
      <c r="R110" s="43" t="n"/>
      <c r="S110" s="52" t="n"/>
    </row>
    <row r="111" ht="15" customHeight="1" s="35">
      <c r="A111" s="43" t="n"/>
      <c r="B111" s="47" t="n"/>
      <c r="C111" s="47" t="n"/>
      <c r="D111" s="43" t="n"/>
      <c r="E111" s="43" t="n"/>
      <c r="F111" s="43" t="n"/>
      <c r="G111" s="43" t="n"/>
      <c r="H111" s="43" t="n"/>
      <c r="I111" s="47" t="n"/>
      <c r="J111" s="48" t="n"/>
      <c r="K111" s="43" t="n"/>
      <c r="L111" s="43" t="n"/>
      <c r="M111" s="43" t="n"/>
      <c r="N111" s="49">
        <f>IF(A111="","",COUNTIFS('Results Log'!$A$5:$A$404,A111,'Results Log'!$B$5:$B$404,"Expected"))</f>
        <v/>
      </c>
      <c r="O111" s="50" t="n"/>
      <c r="P111" s="51" t="n"/>
      <c r="Q111" s="50" t="n"/>
      <c r="R111" s="43" t="n"/>
      <c r="S111" s="52" t="n"/>
    </row>
    <row r="112" ht="15" customHeight="1" s="35">
      <c r="A112" s="43" t="n"/>
      <c r="B112" s="47" t="n"/>
      <c r="C112" s="47" t="n"/>
      <c r="D112" s="43" t="n"/>
      <c r="E112" s="43" t="n"/>
      <c r="F112" s="43" t="n"/>
      <c r="G112" s="43" t="n"/>
      <c r="H112" s="43" t="n"/>
      <c r="I112" s="47" t="n"/>
      <c r="J112" s="48" t="n"/>
      <c r="K112" s="43" t="n"/>
      <c r="L112" s="43" t="n"/>
      <c r="M112" s="43" t="n"/>
      <c r="N112" s="49">
        <f>IF(A112="","",COUNTIFS('Results Log'!$A$5:$A$404,A112,'Results Log'!$B$5:$B$404,"Expected"))</f>
        <v/>
      </c>
      <c r="O112" s="50" t="n"/>
      <c r="P112" s="51" t="n"/>
      <c r="Q112" s="50" t="n"/>
      <c r="R112" s="43" t="n"/>
      <c r="S112" s="52" t="n"/>
    </row>
    <row r="113" ht="15" customHeight="1" s="35">
      <c r="A113" s="43" t="n"/>
      <c r="B113" s="47" t="n"/>
      <c r="C113" s="47" t="n"/>
      <c r="D113" s="43" t="n"/>
      <c r="E113" s="43" t="n"/>
      <c r="F113" s="43" t="n"/>
      <c r="G113" s="43" t="n"/>
      <c r="H113" s="43" t="n"/>
      <c r="I113" s="47" t="n"/>
      <c r="J113" s="48" t="n"/>
      <c r="K113" s="43" t="n"/>
      <c r="L113" s="43" t="n"/>
      <c r="M113" s="43" t="n"/>
      <c r="N113" s="49">
        <f>IF(A113="","",COUNTIFS('Results Log'!$A$5:$A$404,A113,'Results Log'!$B$5:$B$404,"Expected"))</f>
        <v/>
      </c>
      <c r="O113" s="50" t="n"/>
      <c r="P113" s="51" t="n"/>
      <c r="Q113" s="50" t="n"/>
      <c r="R113" s="43" t="n"/>
      <c r="S113" s="52" t="n"/>
    </row>
    <row r="114" ht="15" customHeight="1" s="35">
      <c r="A114" s="43" t="n"/>
      <c r="B114" s="47" t="n"/>
      <c r="C114" s="47" t="n"/>
      <c r="D114" s="43" t="n"/>
      <c r="E114" s="43" t="n"/>
      <c r="F114" s="43" t="n"/>
      <c r="G114" s="43" t="n"/>
      <c r="H114" s="43" t="n"/>
      <c r="I114" s="47" t="n"/>
      <c r="J114" s="48" t="n"/>
      <c r="K114" s="43" t="n"/>
      <c r="L114" s="43" t="n"/>
      <c r="M114" s="43" t="n"/>
      <c r="N114" s="49">
        <f>IF(A114="","",COUNTIFS('Results Log'!$A$5:$A$404,A114,'Results Log'!$B$5:$B$404,"Expected"))</f>
        <v/>
      </c>
      <c r="O114" s="50" t="n"/>
      <c r="P114" s="51" t="n"/>
      <c r="Q114" s="50" t="n"/>
      <c r="R114" s="43" t="n"/>
      <c r="S114" s="52" t="n"/>
    </row>
    <row r="115" ht="15" customHeight="1" s="35">
      <c r="A115" s="43" t="n"/>
      <c r="B115" s="47" t="n"/>
      <c r="C115" s="47" t="n"/>
      <c r="D115" s="43" t="n"/>
      <c r="E115" s="43" t="n"/>
      <c r="F115" s="43" t="n"/>
      <c r="G115" s="43" t="n"/>
      <c r="H115" s="43" t="n"/>
      <c r="I115" s="47" t="n"/>
      <c r="J115" s="48" t="n"/>
      <c r="K115" s="43" t="n"/>
      <c r="L115" s="43" t="n"/>
      <c r="M115" s="43" t="n"/>
      <c r="N115" s="49">
        <f>IF(A115="","",COUNTIFS('Results Log'!$A$5:$A$404,A115,'Results Log'!$B$5:$B$404,"Expected"))</f>
        <v/>
      </c>
      <c r="O115" s="50" t="n"/>
      <c r="P115" s="51" t="n"/>
      <c r="Q115" s="50" t="n"/>
      <c r="R115" s="43" t="n"/>
      <c r="S115" s="52" t="n"/>
    </row>
    <row r="116" ht="15" customHeight="1" s="35">
      <c r="A116" s="43" t="n"/>
      <c r="B116" s="47" t="n"/>
      <c r="C116" s="47" t="n"/>
      <c r="D116" s="43" t="n"/>
      <c r="E116" s="43" t="n"/>
      <c r="F116" s="43" t="n"/>
      <c r="G116" s="43" t="n"/>
      <c r="H116" s="43" t="n"/>
      <c r="I116" s="47" t="n"/>
      <c r="J116" s="48" t="n"/>
      <c r="K116" s="43" t="n"/>
      <c r="L116" s="43" t="n"/>
      <c r="M116" s="43" t="n"/>
      <c r="N116" s="49">
        <f>IF(A116="","",COUNTIFS('Results Log'!$A$5:$A$404,A116,'Results Log'!$B$5:$B$404,"Expected"))</f>
        <v/>
      </c>
      <c r="O116" s="50" t="n"/>
      <c r="P116" s="51" t="n"/>
      <c r="Q116" s="50" t="n"/>
      <c r="R116" s="43" t="n"/>
      <c r="S116" s="52" t="n"/>
    </row>
    <row r="117" ht="15" customHeight="1" s="35">
      <c r="A117" s="43" t="n"/>
      <c r="B117" s="47" t="n"/>
      <c r="C117" s="47" t="n"/>
      <c r="D117" s="43" t="n"/>
      <c r="E117" s="43" t="n"/>
      <c r="F117" s="43" t="n"/>
      <c r="G117" s="43" t="n"/>
      <c r="H117" s="43" t="n"/>
      <c r="I117" s="47" t="n"/>
      <c r="J117" s="48" t="n"/>
      <c r="K117" s="43" t="n"/>
      <c r="L117" s="43" t="n"/>
      <c r="M117" s="43" t="n"/>
      <c r="N117" s="49">
        <f>IF(A117="","",COUNTIFS('Results Log'!$A$5:$A$404,A117,'Results Log'!$B$5:$B$404,"Expected"))</f>
        <v/>
      </c>
      <c r="O117" s="50" t="n"/>
      <c r="P117" s="51" t="n"/>
      <c r="Q117" s="50" t="n"/>
      <c r="R117" s="43" t="n"/>
      <c r="S117" s="52" t="n"/>
    </row>
    <row r="118" ht="15" customHeight="1" s="35">
      <c r="A118" s="43" t="n"/>
      <c r="B118" s="47" t="n"/>
      <c r="C118" s="47" t="n"/>
      <c r="D118" s="43" t="n"/>
      <c r="E118" s="43" t="n"/>
      <c r="F118" s="43" t="n"/>
      <c r="G118" s="43" t="n"/>
      <c r="H118" s="43" t="n"/>
      <c r="I118" s="47" t="n"/>
      <c r="J118" s="48" t="n"/>
      <c r="K118" s="43" t="n"/>
      <c r="L118" s="43" t="n"/>
      <c r="M118" s="43" t="n"/>
      <c r="N118" s="49">
        <f>IF(A118="","",COUNTIFS('Results Log'!$A$5:$A$404,A118,'Results Log'!$B$5:$B$404,"Expected"))</f>
        <v/>
      </c>
      <c r="O118" s="50" t="n"/>
      <c r="P118" s="51" t="n"/>
      <c r="Q118" s="50" t="n"/>
      <c r="R118" s="43" t="n"/>
      <c r="S118" s="52" t="n"/>
    </row>
    <row r="119" ht="15" customHeight="1" s="35">
      <c r="A119" s="43" t="n"/>
      <c r="B119" s="47" t="n"/>
      <c r="C119" s="47" t="n"/>
      <c r="D119" s="43" t="n"/>
      <c r="E119" s="43" t="n"/>
      <c r="F119" s="43" t="n"/>
      <c r="G119" s="43" t="n"/>
      <c r="H119" s="43" t="n"/>
      <c r="I119" s="47" t="n"/>
      <c r="J119" s="48" t="n"/>
      <c r="K119" s="43" t="n"/>
      <c r="L119" s="43" t="n"/>
      <c r="M119" s="43" t="n"/>
      <c r="N119" s="49">
        <f>IF(A119="","",COUNTIFS('Results Log'!$A$5:$A$404,A119,'Results Log'!$B$5:$B$404,"Expected"))</f>
        <v/>
      </c>
      <c r="O119" s="50" t="n"/>
      <c r="P119" s="51" t="n"/>
      <c r="Q119" s="50" t="n"/>
      <c r="R119" s="43" t="n"/>
      <c r="S119" s="52" t="n"/>
    </row>
    <row r="120" ht="15" customHeight="1" s="35">
      <c r="A120" s="43" t="n"/>
      <c r="B120" s="47" t="n"/>
      <c r="C120" s="47" t="n"/>
      <c r="D120" s="43" t="n"/>
      <c r="E120" s="43" t="n"/>
      <c r="F120" s="43" t="n"/>
      <c r="G120" s="43" t="n"/>
      <c r="H120" s="43" t="n"/>
      <c r="I120" s="47" t="n"/>
      <c r="J120" s="48" t="n"/>
      <c r="K120" s="43" t="n"/>
      <c r="L120" s="43" t="n"/>
      <c r="M120" s="43" t="n"/>
      <c r="N120" s="49">
        <f>IF(A120="","",COUNTIFS('Results Log'!$A$5:$A$404,A120,'Results Log'!$B$5:$B$404,"Expected"))</f>
        <v/>
      </c>
      <c r="O120" s="50" t="n"/>
      <c r="P120" s="51" t="n"/>
      <c r="Q120" s="50" t="n"/>
      <c r="R120" s="43" t="n"/>
      <c r="S120" s="52" t="n"/>
    </row>
    <row r="121" ht="15" customHeight="1" s="35">
      <c r="A121" s="43" t="n"/>
      <c r="B121" s="47" t="n"/>
      <c r="C121" s="47" t="n"/>
      <c r="D121" s="43" t="n"/>
      <c r="E121" s="43" t="n"/>
      <c r="F121" s="43" t="n"/>
      <c r="G121" s="43" t="n"/>
      <c r="H121" s="43" t="n"/>
      <c r="I121" s="47" t="n"/>
      <c r="J121" s="48" t="n"/>
      <c r="K121" s="43" t="n"/>
      <c r="L121" s="43" t="n"/>
      <c r="M121" s="43" t="n"/>
      <c r="N121" s="49">
        <f>IF(A121="","",COUNTIFS('Results Log'!$A$5:$A$404,A121,'Results Log'!$B$5:$B$404,"Expected"))</f>
        <v/>
      </c>
      <c r="O121" s="50" t="n"/>
      <c r="P121" s="51" t="n"/>
      <c r="Q121" s="50" t="n"/>
      <c r="R121" s="43" t="n"/>
      <c r="S121" s="52" t="n"/>
    </row>
    <row r="122" ht="15" customHeight="1" s="35">
      <c r="A122" s="43" t="n"/>
      <c r="B122" s="47" t="n"/>
      <c r="C122" s="47" t="n"/>
      <c r="D122" s="43" t="n"/>
      <c r="E122" s="43" t="n"/>
      <c r="F122" s="43" t="n"/>
      <c r="G122" s="43" t="n"/>
      <c r="H122" s="43" t="n"/>
      <c r="I122" s="47" t="n"/>
      <c r="J122" s="48" t="n"/>
      <c r="K122" s="43" t="n"/>
      <c r="L122" s="43" t="n"/>
      <c r="M122" s="43" t="n"/>
      <c r="N122" s="49">
        <f>IF(A122="","",COUNTIFS('Results Log'!$A$5:$A$404,A122,'Results Log'!$B$5:$B$404,"Expected"))</f>
        <v/>
      </c>
      <c r="O122" s="50" t="n"/>
      <c r="P122" s="51" t="n"/>
      <c r="Q122" s="50" t="n"/>
      <c r="R122" s="43" t="n"/>
      <c r="S122" s="52" t="n"/>
    </row>
    <row r="123" ht="15" customHeight="1" s="35">
      <c r="A123" s="43" t="n"/>
      <c r="B123" s="47" t="n"/>
      <c r="C123" s="47" t="n"/>
      <c r="D123" s="43" t="n"/>
      <c r="E123" s="43" t="n"/>
      <c r="F123" s="43" t="n"/>
      <c r="G123" s="43" t="n"/>
      <c r="H123" s="43" t="n"/>
      <c r="I123" s="47" t="n"/>
      <c r="J123" s="48" t="n"/>
      <c r="K123" s="43" t="n"/>
      <c r="L123" s="43" t="n"/>
      <c r="M123" s="43" t="n"/>
      <c r="N123" s="49">
        <f>IF(A123="","",COUNTIFS('Results Log'!$A$5:$A$404,A123,'Results Log'!$B$5:$B$404,"Expected"))</f>
        <v/>
      </c>
      <c r="O123" s="50" t="n"/>
      <c r="P123" s="51" t="n"/>
      <c r="Q123" s="50" t="n"/>
      <c r="R123" s="43" t="n"/>
      <c r="S123" s="52" t="n"/>
    </row>
    <row r="124" ht="15" customHeight="1" s="35">
      <c r="A124" s="43" t="n"/>
      <c r="B124" s="47" t="n"/>
      <c r="C124" s="47" t="n"/>
      <c r="D124" s="43" t="n"/>
      <c r="E124" s="43" t="n"/>
      <c r="F124" s="43" t="n"/>
      <c r="G124" s="43" t="n"/>
      <c r="H124" s="43" t="n"/>
      <c r="I124" s="47" t="n"/>
      <c r="J124" s="48" t="n"/>
      <c r="K124" s="43" t="n"/>
      <c r="L124" s="43" t="n"/>
      <c r="M124" s="43" t="n"/>
      <c r="N124" s="49">
        <f>IF(A124="","",COUNTIFS('Results Log'!$A$5:$A$404,A124,'Results Log'!$B$5:$B$404,"Expected"))</f>
        <v/>
      </c>
      <c r="O124" s="50" t="n"/>
      <c r="P124" s="51" t="n"/>
      <c r="Q124" s="50" t="n"/>
      <c r="R124" s="43" t="n"/>
      <c r="S124" s="52" t="n"/>
    </row>
    <row r="125" ht="15" customHeight="1" s="35">
      <c r="A125" s="43" t="n"/>
      <c r="B125" s="47" t="n"/>
      <c r="C125" s="47" t="n"/>
      <c r="D125" s="43" t="n"/>
      <c r="E125" s="43" t="n"/>
      <c r="F125" s="43" t="n"/>
      <c r="G125" s="43" t="n"/>
      <c r="H125" s="43" t="n"/>
      <c r="I125" s="47" t="n"/>
      <c r="J125" s="48" t="n"/>
      <c r="K125" s="43" t="n"/>
      <c r="L125" s="43" t="n"/>
      <c r="M125" s="43" t="n"/>
      <c r="N125" s="49">
        <f>IF(A125="","",COUNTIFS('Results Log'!$A$5:$A$404,A125,'Results Log'!$B$5:$B$404,"Expected"))</f>
        <v/>
      </c>
      <c r="O125" s="50" t="n"/>
      <c r="P125" s="51" t="n"/>
      <c r="Q125" s="50" t="n"/>
      <c r="R125" s="43" t="n"/>
      <c r="S125" s="52" t="n"/>
    </row>
    <row r="126" ht="15" customHeight="1" s="35">
      <c r="A126" s="43" t="n"/>
      <c r="B126" s="47" t="n"/>
      <c r="C126" s="47" t="n"/>
      <c r="D126" s="43" t="n"/>
      <c r="E126" s="43" t="n"/>
      <c r="F126" s="43" t="n"/>
      <c r="G126" s="43" t="n"/>
      <c r="H126" s="43" t="n"/>
      <c r="I126" s="47" t="n"/>
      <c r="J126" s="48" t="n"/>
      <c r="K126" s="43" t="n"/>
      <c r="L126" s="43" t="n"/>
      <c r="M126" s="43" t="n"/>
      <c r="N126" s="49">
        <f>IF(A126="","",COUNTIFS('Results Log'!$A$5:$A$404,A126,'Results Log'!$B$5:$B$404,"Expected"))</f>
        <v/>
      </c>
      <c r="O126" s="50" t="n"/>
      <c r="P126" s="51" t="n"/>
      <c r="Q126" s="50" t="n"/>
      <c r="R126" s="43" t="n"/>
      <c r="S126" s="52" t="n"/>
    </row>
    <row r="127" ht="15" customHeight="1" s="35">
      <c r="A127" s="43" t="n"/>
      <c r="B127" s="47" t="n"/>
      <c r="C127" s="47" t="n"/>
      <c r="D127" s="43" t="n"/>
      <c r="E127" s="43" t="n"/>
      <c r="F127" s="43" t="n"/>
      <c r="G127" s="43" t="n"/>
      <c r="H127" s="43" t="n"/>
      <c r="I127" s="47" t="n"/>
      <c r="J127" s="48" t="n"/>
      <c r="K127" s="43" t="n"/>
      <c r="L127" s="43" t="n"/>
      <c r="M127" s="43" t="n"/>
      <c r="N127" s="49">
        <f>IF(A127="","",COUNTIFS('Results Log'!$A$5:$A$404,A127,'Results Log'!$B$5:$B$404,"Expected"))</f>
        <v/>
      </c>
      <c r="O127" s="50" t="n"/>
      <c r="P127" s="51" t="n"/>
      <c r="Q127" s="50" t="n"/>
      <c r="R127" s="43" t="n"/>
      <c r="S127" s="52" t="n"/>
    </row>
    <row r="128" ht="15" customHeight="1" s="35">
      <c r="A128" s="43" t="n"/>
      <c r="B128" s="47" t="n"/>
      <c r="C128" s="47" t="n"/>
      <c r="D128" s="43" t="n"/>
      <c r="E128" s="43" t="n"/>
      <c r="F128" s="43" t="n"/>
      <c r="G128" s="43" t="n"/>
      <c r="H128" s="43" t="n"/>
      <c r="I128" s="47" t="n"/>
      <c r="J128" s="48" t="n"/>
      <c r="K128" s="43" t="n"/>
      <c r="L128" s="43" t="n"/>
      <c r="M128" s="43" t="n"/>
      <c r="N128" s="49">
        <f>IF(A128="","",COUNTIFS('Results Log'!$A$5:$A$404,A128,'Results Log'!$B$5:$B$404,"Expected"))</f>
        <v/>
      </c>
      <c r="O128" s="50" t="n"/>
      <c r="P128" s="51" t="n"/>
      <c r="Q128" s="50" t="n"/>
      <c r="R128" s="43" t="n"/>
      <c r="S128" s="52" t="n"/>
    </row>
    <row r="129" ht="15" customHeight="1" s="35">
      <c r="A129" s="43" t="n"/>
      <c r="B129" s="47" t="n"/>
      <c r="C129" s="47" t="n"/>
      <c r="D129" s="43" t="n"/>
      <c r="E129" s="43" t="n"/>
      <c r="F129" s="43" t="n"/>
      <c r="G129" s="43" t="n"/>
      <c r="H129" s="43" t="n"/>
      <c r="I129" s="47" t="n"/>
      <c r="J129" s="48" t="n"/>
      <c r="K129" s="43" t="n"/>
      <c r="L129" s="43" t="n"/>
      <c r="M129" s="43" t="n"/>
      <c r="N129" s="49">
        <f>IF(A129="","",COUNTIFS('Results Log'!$A$5:$A$404,A129,'Results Log'!$B$5:$B$404,"Expected"))</f>
        <v/>
      </c>
      <c r="O129" s="50" t="n"/>
      <c r="P129" s="51" t="n"/>
      <c r="Q129" s="50" t="n"/>
      <c r="R129" s="43" t="n"/>
      <c r="S129" s="52" t="n"/>
    </row>
    <row r="130" ht="15" customHeight="1" s="35">
      <c r="A130" s="43" t="n"/>
      <c r="B130" s="47" t="n"/>
      <c r="C130" s="47" t="n"/>
      <c r="D130" s="43" t="n"/>
      <c r="E130" s="43" t="n"/>
      <c r="F130" s="43" t="n"/>
      <c r="G130" s="43" t="n"/>
      <c r="H130" s="43" t="n"/>
      <c r="I130" s="47" t="n"/>
      <c r="J130" s="48" t="n"/>
      <c r="K130" s="43" t="n"/>
      <c r="L130" s="43" t="n"/>
      <c r="M130" s="43" t="n"/>
      <c r="N130" s="49">
        <f>IF(A130="","",COUNTIFS('Results Log'!$A$5:$A$404,A130,'Results Log'!$B$5:$B$404,"Expected"))</f>
        <v/>
      </c>
      <c r="O130" s="50" t="n"/>
      <c r="P130" s="51" t="n"/>
      <c r="Q130" s="50" t="n"/>
      <c r="R130" s="43" t="n"/>
      <c r="S130" s="52" t="n"/>
    </row>
    <row r="131" ht="15" customHeight="1" s="35">
      <c r="A131" s="43" t="n"/>
      <c r="B131" s="47" t="n"/>
      <c r="C131" s="47" t="n"/>
      <c r="D131" s="43" t="n"/>
      <c r="E131" s="43" t="n"/>
      <c r="F131" s="43" t="n"/>
      <c r="G131" s="43" t="n"/>
      <c r="H131" s="43" t="n"/>
      <c r="I131" s="47" t="n"/>
      <c r="J131" s="48" t="n"/>
      <c r="K131" s="43" t="n"/>
      <c r="L131" s="43" t="n"/>
      <c r="M131" s="43" t="n"/>
      <c r="N131" s="49">
        <f>IF(A131="","",COUNTIFS('Results Log'!$A$5:$A$404,A131,'Results Log'!$B$5:$B$404,"Expected"))</f>
        <v/>
      </c>
      <c r="O131" s="50" t="n"/>
      <c r="P131" s="51" t="n"/>
      <c r="Q131" s="50" t="n"/>
      <c r="R131" s="43" t="n"/>
      <c r="S131" s="52" t="n"/>
    </row>
    <row r="132" ht="15" customHeight="1" s="35">
      <c r="A132" s="43" t="n"/>
      <c r="B132" s="47" t="n"/>
      <c r="C132" s="47" t="n"/>
      <c r="D132" s="43" t="n"/>
      <c r="E132" s="43" t="n"/>
      <c r="F132" s="43" t="n"/>
      <c r="G132" s="43" t="n"/>
      <c r="H132" s="43" t="n"/>
      <c r="I132" s="47" t="n"/>
      <c r="J132" s="48" t="n"/>
      <c r="K132" s="43" t="n"/>
      <c r="L132" s="43" t="n"/>
      <c r="M132" s="43" t="n"/>
      <c r="N132" s="49">
        <f>IF(A132="","",COUNTIFS('Results Log'!$A$5:$A$404,A132,'Results Log'!$B$5:$B$404,"Expected"))</f>
        <v/>
      </c>
      <c r="O132" s="50" t="n"/>
      <c r="P132" s="51" t="n"/>
      <c r="Q132" s="50" t="n"/>
      <c r="R132" s="43" t="n"/>
      <c r="S132" s="52" t="n"/>
    </row>
    <row r="133" ht="15" customHeight="1" s="35">
      <c r="A133" s="43" t="n"/>
      <c r="B133" s="47" t="n"/>
      <c r="C133" s="47" t="n"/>
      <c r="D133" s="43" t="n"/>
      <c r="E133" s="43" t="n"/>
      <c r="F133" s="43" t="n"/>
      <c r="G133" s="43" t="n"/>
      <c r="H133" s="43" t="n"/>
      <c r="I133" s="47" t="n"/>
      <c r="J133" s="48" t="n"/>
      <c r="K133" s="43" t="n"/>
      <c r="L133" s="43" t="n"/>
      <c r="M133" s="43" t="n"/>
      <c r="N133" s="49">
        <f>IF(A133="","",COUNTIFS('Results Log'!$A$5:$A$404,A133,'Results Log'!$B$5:$B$404,"Expected"))</f>
        <v/>
      </c>
      <c r="O133" s="50" t="n"/>
      <c r="P133" s="51" t="n"/>
      <c r="Q133" s="50" t="n"/>
      <c r="R133" s="43" t="n"/>
      <c r="S133" s="52" t="n"/>
    </row>
    <row r="134" ht="15" customHeight="1" s="35">
      <c r="A134" s="43" t="n"/>
      <c r="B134" s="47" t="n"/>
      <c r="C134" s="47" t="n"/>
      <c r="D134" s="43" t="n"/>
      <c r="E134" s="43" t="n"/>
      <c r="F134" s="43" t="n"/>
      <c r="G134" s="43" t="n"/>
      <c r="H134" s="43" t="n"/>
      <c r="I134" s="47" t="n"/>
      <c r="J134" s="48" t="n"/>
      <c r="K134" s="43" t="n"/>
      <c r="L134" s="43" t="n"/>
      <c r="M134" s="43" t="n"/>
      <c r="N134" s="49">
        <f>IF(A134="","",COUNTIFS('Results Log'!$A$5:$A$404,A134,'Results Log'!$B$5:$B$404,"Expected"))</f>
        <v/>
      </c>
      <c r="O134" s="50" t="n"/>
      <c r="P134" s="51" t="n"/>
      <c r="Q134" s="50" t="n"/>
      <c r="R134" s="43" t="n"/>
      <c r="S134" s="52" t="n"/>
    </row>
    <row r="135" ht="15" customHeight="1" s="35">
      <c r="A135" s="43" t="n"/>
      <c r="B135" s="47" t="n"/>
      <c r="C135" s="47" t="n"/>
      <c r="D135" s="43" t="n"/>
      <c r="E135" s="43" t="n"/>
      <c r="F135" s="43" t="n"/>
      <c r="G135" s="43" t="n"/>
      <c r="H135" s="43" t="n"/>
      <c r="I135" s="47" t="n"/>
      <c r="J135" s="48" t="n"/>
      <c r="K135" s="43" t="n"/>
      <c r="L135" s="43" t="n"/>
      <c r="M135" s="43" t="n"/>
      <c r="N135" s="49">
        <f>IF(A135="","",COUNTIFS('Results Log'!$A$5:$A$404,A135,'Results Log'!$B$5:$B$404,"Expected"))</f>
        <v/>
      </c>
      <c r="O135" s="50" t="n"/>
      <c r="P135" s="51" t="n"/>
      <c r="Q135" s="50" t="n"/>
      <c r="R135" s="43" t="n"/>
      <c r="S135" s="52" t="n"/>
    </row>
    <row r="136" ht="15" customHeight="1" s="35">
      <c r="A136" s="43" t="n"/>
      <c r="B136" s="47" t="n"/>
      <c r="C136" s="47" t="n"/>
      <c r="D136" s="43" t="n"/>
      <c r="E136" s="43" t="n"/>
      <c r="F136" s="43" t="n"/>
      <c r="G136" s="43" t="n"/>
      <c r="H136" s="43" t="n"/>
      <c r="I136" s="47" t="n"/>
      <c r="J136" s="48" t="n"/>
      <c r="K136" s="43" t="n"/>
      <c r="L136" s="43" t="n"/>
      <c r="M136" s="43" t="n"/>
      <c r="N136" s="49">
        <f>IF(A136="","",COUNTIFS('Results Log'!$A$5:$A$404,A136,'Results Log'!$B$5:$B$404,"Expected"))</f>
        <v/>
      </c>
      <c r="O136" s="50" t="n"/>
      <c r="P136" s="51" t="n"/>
      <c r="Q136" s="50" t="n"/>
      <c r="R136" s="43" t="n"/>
      <c r="S136" s="52" t="n"/>
    </row>
    <row r="137" ht="15" customHeight="1" s="35">
      <c r="A137" s="43" t="n"/>
      <c r="B137" s="47" t="n"/>
      <c r="C137" s="47" t="n"/>
      <c r="D137" s="43" t="n"/>
      <c r="E137" s="43" t="n"/>
      <c r="F137" s="43" t="n"/>
      <c r="G137" s="43" t="n"/>
      <c r="H137" s="43" t="n"/>
      <c r="I137" s="47" t="n"/>
      <c r="J137" s="48" t="n"/>
      <c r="K137" s="43" t="n"/>
      <c r="L137" s="43" t="n"/>
      <c r="M137" s="43" t="n"/>
      <c r="N137" s="49">
        <f>IF(A137="","",COUNTIFS('Results Log'!$A$5:$A$404,A137,'Results Log'!$B$5:$B$404,"Expected"))</f>
        <v/>
      </c>
      <c r="O137" s="50" t="n"/>
      <c r="P137" s="51" t="n"/>
      <c r="Q137" s="50" t="n"/>
      <c r="R137" s="43" t="n"/>
      <c r="S137" s="52" t="n"/>
    </row>
    <row r="138" ht="15" customHeight="1" s="35">
      <c r="A138" s="43" t="n"/>
      <c r="B138" s="47" t="n"/>
      <c r="C138" s="47" t="n"/>
      <c r="D138" s="43" t="n"/>
      <c r="E138" s="43" t="n"/>
      <c r="F138" s="43" t="n"/>
      <c r="G138" s="43" t="n"/>
      <c r="H138" s="43" t="n"/>
      <c r="I138" s="47" t="n"/>
      <c r="J138" s="48" t="n"/>
      <c r="K138" s="43" t="n"/>
      <c r="L138" s="43" t="n"/>
      <c r="M138" s="43" t="n"/>
      <c r="N138" s="49">
        <f>IF(A138="","",COUNTIFS('Results Log'!$A$5:$A$404,A138,'Results Log'!$B$5:$B$404,"Expected"))</f>
        <v/>
      </c>
      <c r="O138" s="50" t="n"/>
      <c r="P138" s="51" t="n"/>
      <c r="Q138" s="50" t="n"/>
      <c r="R138" s="43" t="n"/>
      <c r="S138" s="52" t="n"/>
    </row>
    <row r="139" ht="15" customHeight="1" s="35">
      <c r="A139" s="43" t="n"/>
      <c r="B139" s="47" t="n"/>
      <c r="C139" s="47" t="n"/>
      <c r="D139" s="43" t="n"/>
      <c r="E139" s="43" t="n"/>
      <c r="F139" s="43" t="n"/>
      <c r="G139" s="43" t="n"/>
      <c r="H139" s="43" t="n"/>
      <c r="I139" s="47" t="n"/>
      <c r="J139" s="48" t="n"/>
      <c r="K139" s="43" t="n"/>
      <c r="L139" s="43" t="n"/>
      <c r="M139" s="43" t="n"/>
      <c r="N139" s="49">
        <f>IF(A139="","",COUNTIFS('Results Log'!$A$5:$A$404,A139,'Results Log'!$B$5:$B$404,"Expected"))</f>
        <v/>
      </c>
      <c r="O139" s="50" t="n"/>
      <c r="P139" s="51" t="n"/>
      <c r="Q139" s="50" t="n"/>
      <c r="R139" s="43" t="n"/>
      <c r="S139" s="52" t="n"/>
    </row>
    <row r="140" ht="15" customHeight="1" s="35">
      <c r="A140" s="43" t="n"/>
      <c r="B140" s="47" t="n"/>
      <c r="C140" s="47" t="n"/>
      <c r="D140" s="43" t="n"/>
      <c r="E140" s="43" t="n"/>
      <c r="F140" s="43" t="n"/>
      <c r="G140" s="43" t="n"/>
      <c r="H140" s="43" t="n"/>
      <c r="I140" s="47" t="n"/>
      <c r="J140" s="48" t="n"/>
      <c r="K140" s="43" t="n"/>
      <c r="L140" s="43" t="n"/>
      <c r="M140" s="43" t="n"/>
      <c r="N140" s="49">
        <f>IF(A140="","",COUNTIFS('Results Log'!$A$5:$A$404,A140,'Results Log'!$B$5:$B$404,"Expected"))</f>
        <v/>
      </c>
      <c r="O140" s="50" t="n"/>
      <c r="P140" s="51" t="n"/>
      <c r="Q140" s="50" t="n"/>
      <c r="R140" s="43" t="n"/>
      <c r="S140" s="52" t="n"/>
    </row>
    <row r="141" ht="15" customHeight="1" s="35">
      <c r="A141" s="43" t="n"/>
      <c r="B141" s="47" t="n"/>
      <c r="C141" s="47" t="n"/>
      <c r="D141" s="43" t="n"/>
      <c r="E141" s="43" t="n"/>
      <c r="F141" s="43" t="n"/>
      <c r="G141" s="43" t="n"/>
      <c r="H141" s="43" t="n"/>
      <c r="I141" s="47" t="n"/>
      <c r="J141" s="48" t="n"/>
      <c r="K141" s="43" t="n"/>
      <c r="L141" s="43" t="n"/>
      <c r="M141" s="43" t="n"/>
      <c r="N141" s="49">
        <f>IF(A141="","",COUNTIFS('Results Log'!$A$5:$A$404,A141,'Results Log'!$B$5:$B$404,"Expected"))</f>
        <v/>
      </c>
      <c r="O141" s="50" t="n"/>
      <c r="P141" s="51" t="n"/>
      <c r="Q141" s="50" t="n"/>
      <c r="R141" s="43" t="n"/>
      <c r="S141" s="52" t="n"/>
    </row>
    <row r="142" ht="15" customHeight="1" s="35">
      <c r="A142" s="43" t="n"/>
      <c r="B142" s="47" t="n"/>
      <c r="C142" s="47" t="n"/>
      <c r="D142" s="43" t="n"/>
      <c r="E142" s="43" t="n"/>
      <c r="F142" s="43" t="n"/>
      <c r="G142" s="43" t="n"/>
      <c r="H142" s="43" t="n"/>
      <c r="I142" s="47" t="n"/>
      <c r="J142" s="48" t="n"/>
      <c r="K142" s="43" t="n"/>
      <c r="L142" s="43" t="n"/>
      <c r="M142" s="43" t="n"/>
      <c r="N142" s="49">
        <f>IF(A142="","",COUNTIFS('Results Log'!$A$5:$A$404,A142,'Results Log'!$B$5:$B$404,"Expected"))</f>
        <v/>
      </c>
      <c r="O142" s="50" t="n"/>
      <c r="P142" s="51" t="n"/>
      <c r="Q142" s="50" t="n"/>
      <c r="R142" s="43" t="n"/>
      <c r="S142" s="52" t="n"/>
    </row>
    <row r="143" ht="15" customHeight="1" s="35">
      <c r="A143" s="43" t="n"/>
      <c r="B143" s="47" t="n"/>
      <c r="C143" s="47" t="n"/>
      <c r="D143" s="43" t="n"/>
      <c r="E143" s="43" t="n"/>
      <c r="F143" s="43" t="n"/>
      <c r="G143" s="43" t="n"/>
      <c r="H143" s="43" t="n"/>
      <c r="I143" s="47" t="n"/>
      <c r="J143" s="48" t="n"/>
      <c r="K143" s="43" t="n"/>
      <c r="L143" s="43" t="n"/>
      <c r="M143" s="43" t="n"/>
      <c r="N143" s="49">
        <f>IF(A143="","",COUNTIFS('Results Log'!$A$5:$A$404,A143,'Results Log'!$B$5:$B$404,"Expected"))</f>
        <v/>
      </c>
      <c r="O143" s="50" t="n"/>
      <c r="P143" s="51" t="n"/>
      <c r="Q143" s="50" t="n"/>
      <c r="R143" s="43" t="n"/>
      <c r="S143" s="52" t="n"/>
    </row>
    <row r="144" ht="15" customHeight="1" s="35">
      <c r="A144" s="43" t="n"/>
      <c r="B144" s="47" t="n"/>
      <c r="C144" s="47" t="n"/>
      <c r="D144" s="43" t="n"/>
      <c r="E144" s="43" t="n"/>
      <c r="F144" s="43" t="n"/>
      <c r="G144" s="43" t="n"/>
      <c r="H144" s="43" t="n"/>
      <c r="I144" s="47" t="n"/>
      <c r="J144" s="48" t="n"/>
      <c r="K144" s="43" t="n"/>
      <c r="L144" s="43" t="n"/>
      <c r="M144" s="43" t="n"/>
      <c r="N144" s="49">
        <f>IF(A144="","",COUNTIFS('Results Log'!$A$5:$A$404,A144,'Results Log'!$B$5:$B$404,"Expected"))</f>
        <v/>
      </c>
      <c r="O144" s="50" t="n"/>
      <c r="P144" s="51" t="n"/>
      <c r="Q144" s="50" t="n"/>
      <c r="R144" s="43" t="n"/>
      <c r="S144" s="52" t="n"/>
    </row>
    <row r="145" ht="15" customHeight="1" s="35">
      <c r="A145" s="43" t="n"/>
      <c r="B145" s="47" t="n"/>
      <c r="C145" s="47" t="n"/>
      <c r="D145" s="43" t="n"/>
      <c r="E145" s="43" t="n"/>
      <c r="F145" s="43" t="n"/>
      <c r="G145" s="43" t="n"/>
      <c r="H145" s="43" t="n"/>
      <c r="I145" s="47" t="n"/>
      <c r="J145" s="48" t="n"/>
      <c r="K145" s="43" t="n"/>
      <c r="L145" s="43" t="n"/>
      <c r="M145" s="43" t="n"/>
      <c r="N145" s="49">
        <f>IF(A145="","",COUNTIFS('Results Log'!$A$5:$A$404,A145,'Results Log'!$B$5:$B$404,"Expected"))</f>
        <v/>
      </c>
      <c r="O145" s="50" t="n"/>
      <c r="P145" s="51" t="n"/>
      <c r="Q145" s="50" t="n"/>
      <c r="R145" s="43" t="n"/>
      <c r="S145" s="52" t="n"/>
    </row>
    <row r="146" ht="15" customHeight="1" s="35">
      <c r="A146" s="43" t="n"/>
      <c r="B146" s="47" t="n"/>
      <c r="C146" s="47" t="n"/>
      <c r="D146" s="43" t="n"/>
      <c r="E146" s="43" t="n"/>
      <c r="F146" s="43" t="n"/>
      <c r="G146" s="43" t="n"/>
      <c r="H146" s="43" t="n"/>
      <c r="I146" s="47" t="n"/>
      <c r="J146" s="48" t="n"/>
      <c r="K146" s="43" t="n"/>
      <c r="L146" s="43" t="n"/>
      <c r="M146" s="43" t="n"/>
      <c r="N146" s="49">
        <f>IF(A146="","",COUNTIFS('Results Log'!$A$5:$A$404,A146,'Results Log'!$B$5:$B$404,"Expected"))</f>
        <v/>
      </c>
      <c r="O146" s="50" t="n"/>
      <c r="P146" s="51" t="n"/>
      <c r="Q146" s="50" t="n"/>
      <c r="R146" s="43" t="n"/>
      <c r="S146" s="52" t="n"/>
    </row>
    <row r="147" ht="15" customHeight="1" s="35">
      <c r="A147" s="43" t="n"/>
      <c r="B147" s="47" t="n"/>
      <c r="C147" s="47" t="n"/>
      <c r="D147" s="43" t="n"/>
      <c r="E147" s="43" t="n"/>
      <c r="F147" s="43" t="n"/>
      <c r="G147" s="43" t="n"/>
      <c r="H147" s="43" t="n"/>
      <c r="I147" s="47" t="n"/>
      <c r="J147" s="48" t="n"/>
      <c r="K147" s="43" t="n"/>
      <c r="L147" s="43" t="n"/>
      <c r="M147" s="43" t="n"/>
      <c r="N147" s="49">
        <f>IF(A147="","",COUNTIFS('Results Log'!$A$5:$A$404,A147,'Results Log'!$B$5:$B$404,"Expected"))</f>
        <v/>
      </c>
      <c r="O147" s="50" t="n"/>
      <c r="P147" s="51" t="n"/>
      <c r="Q147" s="50" t="n"/>
      <c r="R147" s="43" t="n"/>
      <c r="S147" s="52" t="n"/>
    </row>
    <row r="148" ht="15" customHeight="1" s="35">
      <c r="A148" s="43" t="n"/>
      <c r="B148" s="47" t="n"/>
      <c r="C148" s="47" t="n"/>
      <c r="D148" s="43" t="n"/>
      <c r="E148" s="43" t="n"/>
      <c r="F148" s="43" t="n"/>
      <c r="G148" s="43" t="n"/>
      <c r="H148" s="43" t="n"/>
      <c r="I148" s="47" t="n"/>
      <c r="J148" s="48" t="n"/>
      <c r="K148" s="43" t="n"/>
      <c r="L148" s="43" t="n"/>
      <c r="M148" s="43" t="n"/>
      <c r="N148" s="49">
        <f>IF(A148="","",COUNTIFS('Results Log'!$A$5:$A$404,A148,'Results Log'!$B$5:$B$404,"Expected"))</f>
        <v/>
      </c>
      <c r="O148" s="50" t="n"/>
      <c r="P148" s="51" t="n"/>
      <c r="Q148" s="50" t="n"/>
      <c r="R148" s="43" t="n"/>
      <c r="S148" s="52" t="n"/>
    </row>
    <row r="149" ht="15" customHeight="1" s="35">
      <c r="A149" s="43" t="n"/>
      <c r="B149" s="47" t="n"/>
      <c r="C149" s="47" t="n"/>
      <c r="D149" s="43" t="n"/>
      <c r="E149" s="43" t="n"/>
      <c r="F149" s="43" t="n"/>
      <c r="G149" s="43" t="n"/>
      <c r="H149" s="43" t="n"/>
      <c r="I149" s="47" t="n"/>
      <c r="J149" s="48" t="n"/>
      <c r="K149" s="43" t="n"/>
      <c r="L149" s="43" t="n"/>
      <c r="M149" s="43" t="n"/>
      <c r="N149" s="49">
        <f>IF(A149="","",COUNTIFS('Results Log'!$A$5:$A$404,A149,'Results Log'!$B$5:$B$404,"Expected"))</f>
        <v/>
      </c>
      <c r="O149" s="50" t="n"/>
      <c r="P149" s="51" t="n"/>
      <c r="Q149" s="50" t="n"/>
      <c r="R149" s="43" t="n"/>
      <c r="S149" s="52" t="n"/>
    </row>
    <row r="150" ht="15" customHeight="1" s="35">
      <c r="A150" s="43" t="n"/>
      <c r="B150" s="47" t="n"/>
      <c r="C150" s="47" t="n"/>
      <c r="D150" s="43" t="n"/>
      <c r="E150" s="43" t="n"/>
      <c r="F150" s="43" t="n"/>
      <c r="G150" s="43" t="n"/>
      <c r="H150" s="43" t="n"/>
      <c r="I150" s="47" t="n"/>
      <c r="J150" s="48" t="n"/>
      <c r="K150" s="43" t="n"/>
      <c r="L150" s="43" t="n"/>
      <c r="M150" s="43" t="n"/>
      <c r="N150" s="49">
        <f>IF(A150="","",COUNTIFS('Results Log'!$A$5:$A$404,A150,'Results Log'!$B$5:$B$404,"Expected"))</f>
        <v/>
      </c>
      <c r="O150" s="50" t="n"/>
      <c r="P150" s="51" t="n"/>
      <c r="Q150" s="50" t="n"/>
      <c r="R150" s="43" t="n"/>
      <c r="S150" s="52" t="n"/>
    </row>
    <row r="151" ht="15" customHeight="1" s="35">
      <c r="A151" s="43" t="n"/>
      <c r="B151" s="47" t="n"/>
      <c r="C151" s="47" t="n"/>
      <c r="D151" s="43" t="n"/>
      <c r="E151" s="43" t="n"/>
      <c r="F151" s="43" t="n"/>
      <c r="G151" s="43" t="n"/>
      <c r="H151" s="43" t="n"/>
      <c r="I151" s="47" t="n"/>
      <c r="J151" s="48" t="n"/>
      <c r="K151" s="43" t="n"/>
      <c r="L151" s="43" t="n"/>
      <c r="M151" s="43" t="n"/>
      <c r="N151" s="49">
        <f>IF(A151="","",COUNTIFS('Results Log'!$A$5:$A$404,A151,'Results Log'!$B$5:$B$404,"Expected"))</f>
        <v/>
      </c>
      <c r="O151" s="50" t="n"/>
      <c r="P151" s="51" t="n"/>
      <c r="Q151" s="50" t="n"/>
      <c r="R151" s="43" t="n"/>
      <c r="S151" s="52" t="n"/>
    </row>
    <row r="152" ht="15" customHeight="1" s="35">
      <c r="A152" s="43" t="n"/>
      <c r="B152" s="47" t="n"/>
      <c r="C152" s="47" t="n"/>
      <c r="D152" s="43" t="n"/>
      <c r="E152" s="43" t="n"/>
      <c r="F152" s="43" t="n"/>
      <c r="G152" s="43" t="n"/>
      <c r="H152" s="43" t="n"/>
      <c r="I152" s="47" t="n"/>
      <c r="J152" s="48" t="n"/>
      <c r="K152" s="43" t="n"/>
      <c r="L152" s="43" t="n"/>
      <c r="M152" s="43" t="n"/>
      <c r="N152" s="49">
        <f>IF(A152="","",COUNTIFS('Results Log'!$A$5:$A$404,A152,'Results Log'!$B$5:$B$404,"Expected"))</f>
        <v/>
      </c>
      <c r="O152" s="50" t="n"/>
      <c r="P152" s="51" t="n"/>
      <c r="Q152" s="50" t="n"/>
      <c r="R152" s="43" t="n"/>
      <c r="S152" s="52" t="n"/>
    </row>
    <row r="153" ht="15" customHeight="1" s="35">
      <c r="A153" s="43" t="n"/>
      <c r="B153" s="47" t="n"/>
      <c r="C153" s="47" t="n"/>
      <c r="D153" s="43" t="n"/>
      <c r="E153" s="43" t="n"/>
      <c r="F153" s="43" t="n"/>
      <c r="G153" s="43" t="n"/>
      <c r="H153" s="43" t="n"/>
      <c r="I153" s="47" t="n"/>
      <c r="J153" s="48" t="n"/>
      <c r="K153" s="43" t="n"/>
      <c r="L153" s="43" t="n"/>
      <c r="M153" s="43" t="n"/>
      <c r="N153" s="49">
        <f>IF(A153="","",COUNTIFS('Results Log'!$A$5:$A$404,A153,'Results Log'!$B$5:$B$404,"Expected"))</f>
        <v/>
      </c>
      <c r="O153" s="50" t="n"/>
      <c r="P153" s="51" t="n"/>
      <c r="Q153" s="50" t="n"/>
      <c r="R153" s="43" t="n"/>
      <c r="S153" s="52" t="n"/>
    </row>
    <row r="154" ht="15" customHeight="1" s="35">
      <c r="A154" s="43" t="n"/>
      <c r="B154" s="47" t="n"/>
      <c r="C154" s="47" t="n"/>
      <c r="D154" s="43" t="n"/>
      <c r="E154" s="43" t="n"/>
      <c r="F154" s="43" t="n"/>
      <c r="G154" s="43" t="n"/>
      <c r="H154" s="43" t="n"/>
      <c r="I154" s="47" t="n"/>
      <c r="J154" s="48" t="n"/>
      <c r="K154" s="43" t="n"/>
      <c r="L154" s="43" t="n"/>
      <c r="M154" s="43" t="n"/>
      <c r="N154" s="49">
        <f>IF(A154="","",COUNTIFS('Results Log'!$A$5:$A$404,A154,'Results Log'!$B$5:$B$404,"Expected"))</f>
        <v/>
      </c>
      <c r="O154" s="50" t="n"/>
      <c r="P154" s="51" t="n"/>
      <c r="Q154" s="50" t="n"/>
      <c r="R154" s="43" t="n"/>
      <c r="S154" s="52" t="n"/>
    </row>
  </sheetData>
  <autoFilter ref="A4:S154"/>
  <conditionalFormatting sqref="M5:M154">
    <cfRule type="cellIs" rank="0" priority="2" equalAverage="0" operator="equal" aboveAverage="0" dxfId="5" text="" percent="0" bottom="0">
      <formula>"Yes"</formula>
    </cfRule>
  </conditionalFormatting>
  <conditionalFormatting sqref="L5:L154">
    <cfRule type="cellIs" rank="0" priority="3" equalAverage="0" operator="equal" aboveAverage="0" dxfId="6" text="" percent="0" bottom="0">
      <formula>"Failed"</formula>
    </cfRule>
  </conditionalFormatting>
  <conditionalFormatting sqref="G5:G154">
    <cfRule type="cellIs" rank="0" priority="4" equalAverage="0" operator="equal" aboveAverage="0" dxfId="7" text="" percent="0" bottom="0">
      <formula>"Validation"</formula>
    </cfRule>
  </conditionalFormatting>
  <dataValidations count="7">
    <dataValidation sqref="B5:B154" showDropDown="0" showInputMessage="0" showErrorMessage="0" allowBlank="1" type="list" errorStyle="stop" operator="between">
      <formula1>Lists!$A$1:$A$4</formula1>
      <formula2>0</formula2>
    </dataValidation>
    <dataValidation sqref="D5:D154" showDropDown="0" showInputMessage="0" showErrorMessage="0" allowBlank="1" type="list" errorStyle="stop" operator="between">
      <formula1>Lists!$D$1:$D$3</formula1>
      <formula2>0</formula2>
    </dataValidation>
    <dataValidation sqref="E5:E154" showDropDown="0" showInputMessage="0" showErrorMessage="0" allowBlank="1" type="list" errorStyle="stop" operator="between">
      <formula1>Lists!$E$1:$E$3</formula1>
      <formula2>0</formula2>
    </dataValidation>
    <dataValidation sqref="G5:G154" showDropDown="0" showInputMessage="0" showErrorMessage="0" allowBlank="1" type="list" errorStyle="stop" operator="between">
      <formula1>Lists!$O$1:$O$2</formula1>
      <formula2>0</formula2>
    </dataValidation>
    <dataValidation sqref="H5:H154" showDropDown="0" showInputMessage="0" showErrorMessage="0" allowBlank="1" type="list" errorStyle="stop" operator="between">
      <formula1>Lists!$F$1:$F$3</formula1>
      <formula2>0</formula2>
    </dataValidation>
    <dataValidation sqref="L5:L154" showDropDown="0" showInputMessage="0" showErrorMessage="0" allowBlank="1" type="list" errorStyle="stop" operator="between">
      <formula1>Lists!$G$1:$G$6</formula1>
      <formula2>0</formula2>
    </dataValidation>
    <dataValidation sqref="M5:M154" showDropDown="0" showInputMessage="0" showErrorMessage="0" allowBlank="1" type="list" errorStyle="stop" operator="between">
      <formula1>Lists!$K$1:$K$2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4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34" min="1" max="1"/>
    <col width="15" customWidth="1" style="34" min="2" max="2"/>
    <col width="18" customWidth="1" style="34" min="3" max="3"/>
    <col width="13" customWidth="1" style="34" min="4" max="4"/>
    <col width="9" customWidth="1" style="34" min="5" max="5"/>
    <col width="24" customWidth="1" style="34" min="6" max="6"/>
    <col width="11" customWidth="1" style="34" min="7" max="7"/>
    <col width="12" customWidth="1" style="34" min="8" max="8"/>
    <col width="11" customWidth="1" style="34" min="9" max="10"/>
    <col width="14" customWidth="1" style="34" min="11" max="11"/>
    <col width="11" customWidth="1" style="34" min="12" max="12"/>
    <col width="12" customWidth="1" style="34" min="13" max="13"/>
    <col width="10" customWidth="1" style="34" min="14" max="14"/>
    <col width="12" customWidth="1" style="34" min="15" max="15"/>
    <col width="24" customWidth="1" style="34" min="16" max="16"/>
    <col width="11" customWidth="1" style="34" min="17" max="17"/>
    <col width="16" customWidth="1" style="34" min="18" max="18"/>
    <col width="10" customWidth="1" style="34" min="19" max="19"/>
    <col width="12" customWidth="1" style="34" min="20" max="20"/>
    <col width="11" customWidth="1" style="34" min="21" max="21"/>
    <col width="20" customWidth="1" style="34" min="22" max="22"/>
    <col width="12" customWidth="1" style="34" min="23" max="23"/>
    <col width="32" customWidth="1" style="34" min="24" max="24"/>
    <col width="11" customWidth="1" style="34" min="25" max="26"/>
    <col width="16" customWidth="1" style="34" min="27" max="27"/>
  </cols>
  <sheetData>
    <row r="1" ht="19.7" customHeight="1" s="35">
      <c r="A1" s="36" t="inlineStr">
        <is>
          <t>Results Log — one row per answer-key item or unmatched alert</t>
        </is>
      </c>
    </row>
    <row r="2" ht="15" customHeight="1" s="35">
      <c r="A2" s="37" t="inlineStr">
        <is>
          <t>'Expected' rows = your answer key (typed BEFORE detection). 'Unmatched alert' rows = alerts that matched no answer-key row (tagged by a reviewer). Times in SECONDS of video time.</t>
        </is>
      </c>
    </row>
    <row r="4" ht="36" customHeight="1" s="35">
      <c r="A4" s="45" t="inlineStr">
        <is>
          <t>Clip ID</t>
        </is>
      </c>
      <c r="B4" s="45" t="inlineStr">
        <is>
          <t>Row type</t>
        </is>
      </c>
      <c r="C4" s="45" t="inlineStr">
        <is>
          <t>Violation type</t>
        </is>
      </c>
      <c r="D4" s="45" t="inlineStr">
        <is>
          <t>Kind</t>
        </is>
      </c>
      <c r="E4" s="45" t="inlineStr">
        <is>
          <t>Instance #</t>
        </is>
      </c>
      <c r="F4" s="45" t="inlineStr">
        <is>
          <t>Who / description</t>
        </is>
      </c>
      <c r="G4" s="45" t="inlineStr">
        <is>
          <t>Set</t>
        </is>
      </c>
      <c r="H4" s="45" t="inlineStr">
        <is>
          <t>Action start (sec)</t>
        </is>
      </c>
      <c r="I4" s="45" t="inlineStr">
        <is>
          <t>Waiting time (sec)</t>
        </is>
      </c>
      <c r="J4" s="45" t="inlineStr">
        <is>
          <t>Deadline (sec)</t>
        </is>
      </c>
      <c r="K4" s="45" t="inlineStr">
        <is>
          <t>Matched alert ID</t>
        </is>
      </c>
      <c r="L4" s="45" t="inlineStr">
        <is>
          <t>Alert time (sec)</t>
        </is>
      </c>
      <c r="M4" s="45" t="inlineStr">
        <is>
          <t>Highest status</t>
        </is>
      </c>
      <c r="N4" s="45" t="inlineStr">
        <is>
          <t>Delay (sec)</t>
        </is>
      </c>
      <c r="O4" s="45" t="inlineStr">
        <is>
          <t>AI checker</t>
        </is>
      </c>
      <c r="P4" s="45" t="inlineStr">
        <is>
          <t>Tag</t>
        </is>
      </c>
      <c r="Q4" s="45" t="inlineStr">
        <is>
          <t>OUTCOME</t>
        </is>
      </c>
      <c r="R4" s="45" t="inlineStr">
        <is>
          <t>Alerted instead</t>
        </is>
      </c>
      <c r="S4" s="45" t="inlineStr">
        <is>
          <t>Distance</t>
        </is>
      </c>
      <c r="T4" s="45" t="inlineStr">
        <is>
          <t>Time of day</t>
        </is>
      </c>
      <c r="U4" s="45" t="inlineStr">
        <is>
          <t>Added after run</t>
        </is>
      </c>
      <c r="V4" s="45" t="inlineStr">
        <is>
          <t>Miss / FP reason</t>
        </is>
      </c>
      <c r="W4" s="45" t="inlineStr">
        <is>
          <t>Reviewer</t>
        </is>
      </c>
      <c r="X4" s="45" t="inlineStr">
        <is>
          <t>Notes</t>
        </is>
      </c>
      <c r="Y4" s="45" t="inlineStr">
        <is>
          <t>Tool outcome</t>
        </is>
      </c>
      <c r="Z4" s="45" t="inlineStr">
        <is>
          <t>Check</t>
        </is>
      </c>
      <c r="AA4" s="45" t="inlineStr">
        <is>
          <t>Run ID</t>
        </is>
      </c>
    </row>
    <row r="5" ht="15" customHeight="1" s="35">
      <c r="A5" s="43" t="inlineStr">
        <is>
          <t>SMK-V01</t>
        </is>
      </c>
      <c r="B5" s="47" t="inlineStr">
        <is>
          <t>Expected</t>
        </is>
      </c>
      <c r="C5" s="47" t="inlineStr">
        <is>
          <t>Smoking</t>
        </is>
      </c>
      <c r="D5" s="47" t="inlineStr">
        <is>
          <t>Violation</t>
        </is>
      </c>
      <c r="E5" s="43" t="n">
        <v>1</v>
      </c>
      <c r="F5" s="52" t="inlineStr">
        <is>
          <t>man at the curb</t>
        </is>
      </c>
      <c r="G5" s="43" t="inlineStr">
        <is>
          <t>Main</t>
        </is>
      </c>
      <c r="H5" s="51" t="n">
        <v>5</v>
      </c>
      <c r="I5" s="53">
        <f>IF(B5&lt;&gt;"Expected","",IF(C5="Parking Obstruction",IF(G5="Validation",Settings!$B$9,Settings!$B$8),IF(C5="Drinking",IF(G5="Validation",Settings!$B$11,Settings!$B$10),0)))</f>
        <v/>
      </c>
      <c r="J5" s="54">
        <f>IF(OR(B5&lt;&gt;"Expected",D5&lt;&gt;"Violation",H5=""),"",H5+I5+Settings!$B$5)</f>
        <v/>
      </c>
      <c r="K5" s="43" t="inlineStr">
        <is>
          <t>E0001</t>
        </is>
      </c>
      <c r="L5" s="51" t="n">
        <v>6.5</v>
      </c>
      <c r="M5" s="43" t="inlineStr">
        <is>
          <t>Likely</t>
        </is>
      </c>
      <c r="N5" s="54">
        <f>IF(AND(B5="Expected",D5="Violation",K5&lt;&gt;"",ISNUMBER(L5),ISNUMBER(H5)),L5-H5-I5,"")</f>
        <v/>
      </c>
      <c r="O5" s="43" t="inlineStr">
        <is>
          <t>Disagrees</t>
        </is>
      </c>
      <c r="P5" s="47" t="n"/>
      <c r="Q5" s="55">
        <f>IF(A5="","",IF(B5="Expected",IF(D5="Violation",IF(H5="","Needs start",IF(AND(K5&lt;&gt;"",OR(M5&lt;&gt;"Monitoring",Settings!$B$7="Yes"),ISNUMBER(L5),L5&lt;=J5),"TP","FN")),IF(AND(K5&lt;&gt;"",OR(M5&lt;&gt;"Monitoring",Settings!$B$7="Yes")),"FP","TN")),IF(P5="","Needs tag",IF(OR(P5="False alarm",P5="Unscripted – false alarm"),"FP",IF(P5="Duplicate","Duplicate",IF(P5="Late (real act)","Late","Excluded"))))))</f>
        <v/>
      </c>
      <c r="R5" s="47" t="n"/>
      <c r="S5" s="43" t="inlineStr">
        <is>
          <t>Near</t>
        </is>
      </c>
      <c r="T5" s="43" t="inlineStr">
        <is>
          <t>Day</t>
        </is>
      </c>
      <c r="U5" s="43" t="inlineStr">
        <is>
          <t>No</t>
        </is>
      </c>
      <c r="V5" s="47" t="n"/>
      <c r="W5" s="47" t="inlineStr">
        <is>
          <t>Tester</t>
        </is>
      </c>
      <c r="X5" s="52" t="n"/>
      <c r="Y5" s="43" t="inlineStr">
        <is>
          <t>TP</t>
        </is>
      </c>
      <c r="Z5" s="55">
        <f>IF(OR(Y5="",Q5=""),"",IF(Y5=Q5,"OK","MISMATCH"))</f>
        <v/>
      </c>
      <c r="AA5" s="43" t="inlineStr">
        <is>
          <t>20261017-235836-0b0358</t>
        </is>
      </c>
    </row>
    <row r="6" ht="15" customHeight="1" s="35">
      <c r="A6" s="43" t="inlineStr">
        <is>
          <t>PRK-V01</t>
        </is>
      </c>
      <c r="B6" s="47" t="inlineStr">
        <is>
          <t>Expected</t>
        </is>
      </c>
      <c r="C6" s="47" t="inlineStr">
        <is>
          <t>Parking Obstruction</t>
        </is>
      </c>
      <c r="D6" s="47" t="inlineStr">
        <is>
          <t>Violation</t>
        </is>
      </c>
      <c r="E6" s="43" t="n">
        <v>1</v>
      </c>
      <c r="F6" s="52" t="inlineStr">
        <is>
          <t>vehicle</t>
        </is>
      </c>
      <c r="G6" s="43" t="inlineStr">
        <is>
          <t>Main</t>
        </is>
      </c>
      <c r="H6" s="51" t="n">
        <v>5</v>
      </c>
      <c r="I6" s="53">
        <f>IF(B6&lt;&gt;"Expected","",IF(C6="Parking Obstruction",IF(G6="Validation",Settings!$B$9,Settings!$B$8),IF(C6="Drinking",IF(G6="Validation",Settings!$B$11,Settings!$B$10),0)))</f>
        <v/>
      </c>
      <c r="J6" s="54">
        <f>IF(OR(B6&lt;&gt;"Expected",D6&lt;&gt;"Violation",H6=""),"",H6+I6+Settings!$B$5)</f>
        <v/>
      </c>
      <c r="K6" s="43" t="n"/>
      <c r="L6" s="51" t="n"/>
      <c r="M6" s="43" t="n"/>
      <c r="N6" s="54">
        <f>IF(AND(B6="Expected",D6="Violation",K6&lt;&gt;"",ISNUMBER(L6),ISNUMBER(H6)),L6-H6-I6,"")</f>
        <v/>
      </c>
      <c r="O6" s="43" t="n"/>
      <c r="P6" s="47" t="n"/>
      <c r="Q6" s="55">
        <f>IF(A6="","",IF(B6="Expected",IF(D6="Violation",IF(H6="","Needs start",IF(AND(K6&lt;&gt;"",OR(M6&lt;&gt;"Monitoring",Settings!$B$7="Yes"),ISNUMBER(L6),L6&lt;=J6),"TP","FN")),IF(AND(K6&lt;&gt;"",OR(M6&lt;&gt;"Monitoring",Settings!$B$7="Yes")),"FP","TN")),IF(P6="","Needs tag",IF(OR(P6="False alarm",P6="Unscripted – false alarm"),"FP",IF(P6="Duplicate","Duplicate",IF(P6="Late (real act)","Late","Excluded"))))))</f>
        <v/>
      </c>
      <c r="R6" s="47" t="inlineStr">
        <is>
          <t>Smoking</t>
        </is>
      </c>
      <c r="S6" s="43" t="inlineStr">
        <is>
          <t>Mid</t>
        </is>
      </c>
      <c r="T6" s="43" t="inlineStr">
        <is>
          <t>Day</t>
        </is>
      </c>
      <c r="U6" s="43" t="inlineStr">
        <is>
          <t>No</t>
        </is>
      </c>
      <c r="V6" s="47" t="n"/>
      <c r="W6" s="47" t="n"/>
      <c r="X6" s="52" t="n"/>
      <c r="Y6" s="43" t="inlineStr">
        <is>
          <t>FN</t>
        </is>
      </c>
      <c r="Z6" s="55">
        <f>IF(OR(Y6="",Q6=""),"",IF(Y6=Q6,"OK","MISMATCH"))</f>
        <v/>
      </c>
      <c r="AA6" s="43" t="inlineStr">
        <is>
          <t>20261017-234601-13cb6a</t>
        </is>
      </c>
    </row>
    <row r="7" ht="15" customHeight="1" s="35">
      <c r="A7" s="43" t="inlineStr">
        <is>
          <t>PRK-V01</t>
        </is>
      </c>
      <c r="B7" s="47" t="inlineStr">
        <is>
          <t>Unmatched alert</t>
        </is>
      </c>
      <c r="C7" s="47" t="inlineStr">
        <is>
          <t>Smoking</t>
        </is>
      </c>
      <c r="D7" s="47" t="n"/>
      <c r="E7" s="43" t="n"/>
      <c r="F7" s="52" t="n"/>
      <c r="G7" s="43" t="inlineStr">
        <is>
          <t>Main</t>
        </is>
      </c>
      <c r="H7" s="51" t="n"/>
      <c r="I7" s="53">
        <f>IF(B7&lt;&gt;"Expected","",IF(C7="Parking Obstruction",IF(G7="Validation",Settings!$B$9,Settings!$B$8),IF(C7="Drinking",IF(G7="Validation",Settings!$B$11,Settings!$B$10),0)))</f>
        <v/>
      </c>
      <c r="J7" s="54">
        <f>IF(OR(B7&lt;&gt;"Expected",D7&lt;&gt;"Violation",H7=""),"",H7+I7+Settings!$B$5)</f>
        <v/>
      </c>
      <c r="K7" s="43" t="inlineStr">
        <is>
          <t>E0001</t>
        </is>
      </c>
      <c r="L7" s="51" t="n">
        <v>7.2</v>
      </c>
      <c r="M7" s="43" t="inlineStr">
        <is>
          <t>Likely</t>
        </is>
      </c>
      <c r="N7" s="54">
        <f>IF(AND(B7="Expected",D7="Violation",K7&lt;&gt;"",ISNUMBER(L7),ISNUMBER(H7)),L7-H7-I7,"")</f>
        <v/>
      </c>
      <c r="O7" s="43" t="inlineStr">
        <is>
          <t>Disagrees</t>
        </is>
      </c>
      <c r="P7" s="47" t="n"/>
      <c r="Q7" s="55">
        <f>IF(A7="","",IF(B7="Expected",IF(D7="Violation",IF(H7="","Needs start",IF(AND(K7&lt;&gt;"",OR(M7&lt;&gt;"Monitoring",Settings!$B$7="Yes"),ISNUMBER(L7),L7&lt;=J7),"TP","FN")),IF(AND(K7&lt;&gt;"",OR(M7&lt;&gt;"Monitoring",Settings!$B$7="Yes")),"FP","TN")),IF(P7="","Needs tag",IF(OR(P7="False alarm",P7="Unscripted – false alarm"),"FP",IF(P7="Duplicate","Duplicate",IF(P7="Late (real act)","Late","Excluded"))))))</f>
        <v/>
      </c>
      <c r="R7" s="47" t="n"/>
      <c r="S7" s="43" t="inlineStr">
        <is>
          <t>Mid</t>
        </is>
      </c>
      <c r="T7" s="43" t="inlineStr">
        <is>
          <t>Day</t>
        </is>
      </c>
      <c r="U7" s="43" t="n"/>
      <c r="V7" s="47" t="n"/>
      <c r="W7" s="47" t="n"/>
      <c r="X7" s="52" t="n"/>
      <c r="Y7" s="43" t="inlineStr">
        <is>
          <t>Needs tag</t>
        </is>
      </c>
      <c r="Z7" s="55">
        <f>IF(OR(Y7="",Q7=""),"",IF(Y7=Q7,"OK","MISMATCH"))</f>
        <v/>
      </c>
      <c r="AA7" s="43" t="inlineStr">
        <is>
          <t>20261017-234601-13cb6a</t>
        </is>
      </c>
    </row>
    <row r="8" ht="15" customHeight="1" s="35">
      <c r="A8" s="43" t="inlineStr">
        <is>
          <t>PRK-V02</t>
        </is>
      </c>
      <c r="B8" s="47" t="inlineStr">
        <is>
          <t>Expected</t>
        </is>
      </c>
      <c r="C8" s="47" t="inlineStr">
        <is>
          <t>Parking Obstruction</t>
        </is>
      </c>
      <c r="D8" s="47" t="inlineStr">
        <is>
          <t>Violation</t>
        </is>
      </c>
      <c r="E8" s="43" t="n">
        <v>1</v>
      </c>
      <c r="F8" s="52" t="inlineStr">
        <is>
          <t>motorcycle at the shop</t>
        </is>
      </c>
      <c r="G8" s="43" t="inlineStr">
        <is>
          <t>Main</t>
        </is>
      </c>
      <c r="H8" s="51" t="n">
        <v>2</v>
      </c>
      <c r="I8" s="53">
        <f>IF(B8&lt;&gt;"Expected","",IF(C8="Parking Obstruction",IF(G8="Validation",Settings!$B$9,Settings!$B$8),IF(C8="Drinking",IF(G8="Validation",Settings!$B$11,Settings!$B$10),0)))</f>
        <v/>
      </c>
      <c r="J8" s="54">
        <f>IF(OR(B8&lt;&gt;"Expected",D8&lt;&gt;"Violation",H8=""),"",H8+I8+Settings!$B$5)</f>
        <v/>
      </c>
      <c r="K8" s="43" t="inlineStr">
        <is>
          <t>E0003</t>
        </is>
      </c>
      <c r="L8" s="51" t="n">
        <v>40</v>
      </c>
      <c r="M8" s="43" t="inlineStr">
        <is>
          <t>Likely</t>
        </is>
      </c>
      <c r="N8" s="54">
        <f>IF(AND(B8="Expected",D8="Violation",K8&lt;&gt;"",ISNUMBER(L8),ISNUMBER(H8)),L8-H8-I8,"")</f>
        <v/>
      </c>
      <c r="O8" s="43" t="inlineStr">
        <is>
          <t>Not run</t>
        </is>
      </c>
      <c r="P8" s="47" t="n"/>
      <c r="Q8" s="55">
        <f>IF(A8="","",IF(B8="Expected",IF(D8="Violation",IF(H8="","Needs start",IF(AND(K8&lt;&gt;"",OR(M8&lt;&gt;"Monitoring",Settings!$B$7="Yes"),ISNUMBER(L8),L8&lt;=J8),"TP","FN")),IF(AND(K8&lt;&gt;"",OR(M8&lt;&gt;"Monitoring",Settings!$B$7="Yes")),"FP","TN")),IF(P8="","Needs tag",IF(OR(P8="False alarm",P8="Unscripted – false alarm"),"FP",IF(P8="Duplicate","Duplicate",IF(P8="Late (real act)","Late","Excluded"))))))</f>
        <v/>
      </c>
      <c r="R8" s="47" t="n"/>
      <c r="S8" s="43" t="inlineStr">
        <is>
          <t>Mid</t>
        </is>
      </c>
      <c r="T8" s="43" t="inlineStr">
        <is>
          <t>Day</t>
        </is>
      </c>
      <c r="U8" s="43" t="inlineStr">
        <is>
          <t>No</t>
        </is>
      </c>
      <c r="V8" s="47" t="n"/>
      <c r="W8" s="47" t="n"/>
      <c r="X8" s="52" t="n"/>
      <c r="Y8" s="43" t="inlineStr">
        <is>
          <t>TP</t>
        </is>
      </c>
      <c r="Z8" s="55">
        <f>IF(OR(Y8="",Q8=""),"",IF(Y8=Q8,"OK","MISMATCH"))</f>
        <v/>
      </c>
      <c r="AA8" s="43" t="inlineStr">
        <is>
          <t>20261018-001825-c75439</t>
        </is>
      </c>
    </row>
    <row r="9" ht="15" customHeight="1" s="35">
      <c r="A9" s="43" t="n"/>
      <c r="B9" s="47" t="n"/>
      <c r="C9" s="47" t="n"/>
      <c r="D9" s="47" t="n"/>
      <c r="E9" s="43" t="n"/>
      <c r="F9" s="52" t="n"/>
      <c r="G9" s="43" t="n"/>
      <c r="H9" s="51" t="n"/>
      <c r="I9" s="53">
        <f>IF(B9&lt;&gt;"Expected","",IF(C9="Parking Obstruction",IF(G9="Validation",Settings!$B$9,Settings!$B$8),IF(C9="Drinking",IF(G9="Validation",Settings!$B$11,Settings!$B$10),0)))</f>
        <v/>
      </c>
      <c r="J9" s="54">
        <f>IF(OR(B9&lt;&gt;"Expected",D9&lt;&gt;"Violation",H9=""),"",H9+I9+Settings!$B$5)</f>
        <v/>
      </c>
      <c r="K9" s="43" t="n"/>
      <c r="L9" s="51" t="n"/>
      <c r="M9" s="43" t="n"/>
      <c r="N9" s="54">
        <f>IF(AND(B9="Expected",D9="Violation",K9&lt;&gt;"",ISNUMBER(L9),ISNUMBER(H9)),L9-H9-I9,"")</f>
        <v/>
      </c>
      <c r="O9" s="43" t="n"/>
      <c r="P9" s="47" t="n"/>
      <c r="Q9" s="55">
        <f>IF(A9="","",IF(B9="Expected",IF(D9="Violation",IF(H9="","Needs start",IF(AND(K9&lt;&gt;"",OR(M9&lt;&gt;"Monitoring",Settings!$B$7="Yes"),ISNUMBER(L9),L9&lt;=J9),"TP","FN")),IF(AND(K9&lt;&gt;"",OR(M9&lt;&gt;"Monitoring",Settings!$B$7="Yes")),"FP","TN")),IF(P9="","Needs tag",IF(OR(P9="False alarm",P9="Unscripted – false alarm"),"FP",IF(P9="Duplicate","Duplicate",IF(P9="Late (real act)","Late","Excluded"))))))</f>
        <v/>
      </c>
      <c r="R9" s="47" t="n"/>
      <c r="S9" s="43" t="n"/>
      <c r="T9" s="43" t="n"/>
      <c r="U9" s="43" t="n"/>
      <c r="V9" s="47" t="n"/>
      <c r="W9" s="47" t="n"/>
      <c r="X9" s="52" t="n"/>
      <c r="Y9" s="43" t="n"/>
      <c r="Z9" s="55">
        <f>IF(OR(Y9="",Q9=""),"",IF(Y9=Q9,"OK","MISMATCH"))</f>
        <v/>
      </c>
      <c r="AA9" s="43" t="n"/>
    </row>
    <row r="10" ht="15" customHeight="1" s="35">
      <c r="A10" s="43" t="n"/>
      <c r="B10" s="47" t="n"/>
      <c r="C10" s="47" t="n"/>
      <c r="D10" s="47" t="n"/>
      <c r="E10" s="43" t="n"/>
      <c r="F10" s="52" t="n"/>
      <c r="G10" s="43" t="n"/>
      <c r="H10" s="51" t="n"/>
      <c r="I10" s="53">
        <f>IF(B10&lt;&gt;"Expected","",IF(C10="Parking Obstruction",IF(G10="Validation",Settings!$B$9,Settings!$B$8),IF(C10="Drinking",IF(G10="Validation",Settings!$B$11,Settings!$B$10),0)))</f>
        <v/>
      </c>
      <c r="J10" s="54">
        <f>IF(OR(B10&lt;&gt;"Expected",D10&lt;&gt;"Violation",H10=""),"",H10+I10+Settings!$B$5)</f>
        <v/>
      </c>
      <c r="K10" s="43" t="n"/>
      <c r="L10" s="51" t="n"/>
      <c r="M10" s="43" t="n"/>
      <c r="N10" s="54">
        <f>IF(AND(B10="Expected",D10="Violation",K10&lt;&gt;"",ISNUMBER(L10),ISNUMBER(H10)),L10-H10-I10,"")</f>
        <v/>
      </c>
      <c r="O10" s="43" t="n"/>
      <c r="P10" s="47" t="n"/>
      <c r="Q10" s="55">
        <f>IF(A10="","",IF(B10="Expected",IF(D10="Violation",IF(H10="","Needs start",IF(AND(K10&lt;&gt;"",OR(M10&lt;&gt;"Monitoring",Settings!$B$7="Yes"),ISNUMBER(L10),L10&lt;=J10),"TP","FN")),IF(AND(K10&lt;&gt;"",OR(M10&lt;&gt;"Monitoring",Settings!$B$7="Yes")),"FP","TN")),IF(P10="","Needs tag",IF(OR(P10="False alarm",P10="Unscripted – false alarm"),"FP",IF(P10="Duplicate","Duplicate",IF(P10="Late (real act)","Late","Excluded"))))))</f>
        <v/>
      </c>
      <c r="R10" s="47" t="n"/>
      <c r="S10" s="43" t="n"/>
      <c r="T10" s="43" t="n"/>
      <c r="U10" s="43" t="n"/>
      <c r="V10" s="47" t="n"/>
      <c r="W10" s="47" t="n"/>
      <c r="X10" s="52" t="n"/>
      <c r="Y10" s="43" t="n"/>
      <c r="Z10" s="55">
        <f>IF(OR(Y10="",Q10=""),"",IF(Y10=Q10,"OK","MISMATCH"))</f>
        <v/>
      </c>
      <c r="AA10" s="43" t="n"/>
    </row>
    <row r="11" ht="15" customHeight="1" s="35">
      <c r="A11" s="43" t="n"/>
      <c r="B11" s="47" t="n"/>
      <c r="C11" s="47" t="n"/>
      <c r="D11" s="47" t="n"/>
      <c r="E11" s="43" t="n"/>
      <c r="F11" s="52" t="n"/>
      <c r="G11" s="43" t="n"/>
      <c r="H11" s="51" t="n"/>
      <c r="I11" s="53">
        <f>IF(B11&lt;&gt;"Expected","",IF(C11="Parking Obstruction",IF(G11="Validation",Settings!$B$9,Settings!$B$8),IF(C11="Drinking",IF(G11="Validation",Settings!$B$11,Settings!$B$10),0)))</f>
        <v/>
      </c>
      <c r="J11" s="54">
        <f>IF(OR(B11&lt;&gt;"Expected",D11&lt;&gt;"Violation",H11=""),"",H11+I11+Settings!$B$5)</f>
        <v/>
      </c>
      <c r="K11" s="43" t="n"/>
      <c r="L11" s="51" t="n"/>
      <c r="M11" s="43" t="n"/>
      <c r="N11" s="54">
        <f>IF(AND(B11="Expected",D11="Violation",K11&lt;&gt;"",ISNUMBER(L11),ISNUMBER(H11)),L11-H11-I11,"")</f>
        <v/>
      </c>
      <c r="O11" s="43" t="n"/>
      <c r="P11" s="47" t="n"/>
      <c r="Q11" s="55">
        <f>IF(A11="","",IF(B11="Expected",IF(D11="Violation",IF(H11="","Needs start",IF(AND(K11&lt;&gt;"",OR(M11&lt;&gt;"Monitoring",Settings!$B$7="Yes"),ISNUMBER(L11),L11&lt;=J11),"TP","FN")),IF(AND(K11&lt;&gt;"",OR(M11&lt;&gt;"Monitoring",Settings!$B$7="Yes")),"FP","TN")),IF(P11="","Needs tag",IF(OR(P11="False alarm",P11="Unscripted – false alarm"),"FP",IF(P11="Duplicate","Duplicate",IF(P11="Late (real act)","Late","Excluded"))))))</f>
        <v/>
      </c>
      <c r="R11" s="47" t="n"/>
      <c r="S11" s="43" t="n"/>
      <c r="T11" s="43" t="n"/>
      <c r="U11" s="43" t="n"/>
      <c r="V11" s="47" t="n"/>
      <c r="W11" s="47" t="n"/>
      <c r="X11" s="52" t="n"/>
      <c r="Y11" s="43" t="n"/>
      <c r="Z11" s="55">
        <f>IF(OR(Y11="",Q11=""),"",IF(Y11=Q11,"OK","MISMATCH"))</f>
        <v/>
      </c>
      <c r="AA11" s="43" t="n"/>
    </row>
    <row r="12" ht="15" customHeight="1" s="35">
      <c r="A12" s="43" t="n"/>
      <c r="B12" s="47" t="n"/>
      <c r="C12" s="47" t="n"/>
      <c r="D12" s="47" t="n"/>
      <c r="E12" s="43" t="n"/>
      <c r="F12" s="52" t="n"/>
      <c r="G12" s="43" t="n"/>
      <c r="H12" s="51" t="n"/>
      <c r="I12" s="53">
        <f>IF(B12&lt;&gt;"Expected","",IF(C12="Parking Obstruction",IF(G12="Validation",Settings!$B$9,Settings!$B$8),IF(C12="Drinking",IF(G12="Validation",Settings!$B$11,Settings!$B$10),0)))</f>
        <v/>
      </c>
      <c r="J12" s="54">
        <f>IF(OR(B12&lt;&gt;"Expected",D12&lt;&gt;"Violation",H12=""),"",H12+I12+Settings!$B$5)</f>
        <v/>
      </c>
      <c r="K12" s="43" t="n"/>
      <c r="L12" s="51" t="n"/>
      <c r="M12" s="43" t="n"/>
      <c r="N12" s="54">
        <f>IF(AND(B12="Expected",D12="Violation",K12&lt;&gt;"",ISNUMBER(L12),ISNUMBER(H12)),L12-H12-I12,"")</f>
        <v/>
      </c>
      <c r="O12" s="43" t="n"/>
      <c r="P12" s="47" t="n"/>
      <c r="Q12" s="55">
        <f>IF(A12="","",IF(B12="Expected",IF(D12="Violation",IF(H12="","Needs start",IF(AND(K12&lt;&gt;"",OR(M12&lt;&gt;"Monitoring",Settings!$B$7="Yes"),ISNUMBER(L12),L12&lt;=J12),"TP","FN")),IF(AND(K12&lt;&gt;"",OR(M12&lt;&gt;"Monitoring",Settings!$B$7="Yes")),"FP","TN")),IF(P12="","Needs tag",IF(OR(P12="False alarm",P12="Unscripted – false alarm"),"FP",IF(P12="Duplicate","Duplicate",IF(P12="Late (real act)","Late","Excluded"))))))</f>
        <v/>
      </c>
      <c r="R12" s="47" t="n"/>
      <c r="S12" s="43" t="n"/>
      <c r="T12" s="43" t="n"/>
      <c r="U12" s="43" t="n"/>
      <c r="V12" s="47" t="n"/>
      <c r="W12" s="47" t="n"/>
      <c r="X12" s="52" t="n"/>
      <c r="Y12" s="43" t="n"/>
      <c r="Z12" s="55">
        <f>IF(OR(Y12="",Q12=""),"",IF(Y12=Q12,"OK","MISMATCH"))</f>
        <v/>
      </c>
      <c r="AA12" s="43" t="n"/>
    </row>
    <row r="13" ht="15" customHeight="1" s="35">
      <c r="A13" s="43" t="n"/>
      <c r="B13" s="47" t="n"/>
      <c r="C13" s="47" t="n"/>
      <c r="D13" s="47" t="n"/>
      <c r="E13" s="43" t="n"/>
      <c r="F13" s="52" t="n"/>
      <c r="G13" s="43" t="n"/>
      <c r="H13" s="51" t="n"/>
      <c r="I13" s="53">
        <f>IF(B13&lt;&gt;"Expected","",IF(C13="Parking Obstruction",IF(G13="Validation",Settings!$B$9,Settings!$B$8),IF(C13="Drinking",IF(G13="Validation",Settings!$B$11,Settings!$B$10),0)))</f>
        <v/>
      </c>
      <c r="J13" s="54">
        <f>IF(OR(B13&lt;&gt;"Expected",D13&lt;&gt;"Violation",H13=""),"",H13+I13+Settings!$B$5)</f>
        <v/>
      </c>
      <c r="K13" s="43" t="n"/>
      <c r="L13" s="51" t="n"/>
      <c r="M13" s="43" t="n"/>
      <c r="N13" s="54">
        <f>IF(AND(B13="Expected",D13="Violation",K13&lt;&gt;"",ISNUMBER(L13),ISNUMBER(H13)),L13-H13-I13,"")</f>
        <v/>
      </c>
      <c r="O13" s="43" t="n"/>
      <c r="P13" s="47" t="n"/>
      <c r="Q13" s="55">
        <f>IF(A13="","",IF(B13="Expected",IF(D13="Violation",IF(H13="","Needs start",IF(AND(K13&lt;&gt;"",OR(M13&lt;&gt;"Monitoring",Settings!$B$7="Yes"),ISNUMBER(L13),L13&lt;=J13),"TP","FN")),IF(AND(K13&lt;&gt;"",OR(M13&lt;&gt;"Monitoring",Settings!$B$7="Yes")),"FP","TN")),IF(P13="","Needs tag",IF(OR(P13="False alarm",P13="Unscripted – false alarm"),"FP",IF(P13="Duplicate","Duplicate",IF(P13="Late (real act)","Late","Excluded"))))))</f>
        <v/>
      </c>
      <c r="R13" s="47" t="n"/>
      <c r="S13" s="43" t="n"/>
      <c r="T13" s="43" t="n"/>
      <c r="U13" s="43" t="n"/>
      <c r="V13" s="47" t="n"/>
      <c r="W13" s="47" t="n"/>
      <c r="X13" s="52" t="n"/>
      <c r="Y13" s="43" t="n"/>
      <c r="Z13" s="55">
        <f>IF(OR(Y13="",Q13=""),"",IF(Y13=Q13,"OK","MISMATCH"))</f>
        <v/>
      </c>
      <c r="AA13" s="43" t="n"/>
    </row>
    <row r="14" ht="15" customHeight="1" s="35">
      <c r="A14" s="43" t="n"/>
      <c r="B14" s="47" t="n"/>
      <c r="C14" s="47" t="n"/>
      <c r="D14" s="47" t="n"/>
      <c r="E14" s="43" t="n"/>
      <c r="F14" s="52" t="n"/>
      <c r="G14" s="43" t="n"/>
      <c r="H14" s="51" t="n"/>
      <c r="I14" s="53">
        <f>IF(B14&lt;&gt;"Expected","",IF(C14="Parking Obstruction",IF(G14="Validation",Settings!$B$9,Settings!$B$8),IF(C14="Drinking",IF(G14="Validation",Settings!$B$11,Settings!$B$10),0)))</f>
        <v/>
      </c>
      <c r="J14" s="54">
        <f>IF(OR(B14&lt;&gt;"Expected",D14&lt;&gt;"Violation",H14=""),"",H14+I14+Settings!$B$5)</f>
        <v/>
      </c>
      <c r="K14" s="43" t="n"/>
      <c r="L14" s="51" t="n"/>
      <c r="M14" s="43" t="n"/>
      <c r="N14" s="54">
        <f>IF(AND(B14="Expected",D14="Violation",K14&lt;&gt;"",ISNUMBER(L14),ISNUMBER(H14)),L14-H14-I14,"")</f>
        <v/>
      </c>
      <c r="O14" s="43" t="n"/>
      <c r="P14" s="47" t="n"/>
      <c r="Q14" s="55">
        <f>IF(A14="","",IF(B14="Expected",IF(D14="Violation",IF(H14="","Needs start",IF(AND(K14&lt;&gt;"",OR(M14&lt;&gt;"Monitoring",Settings!$B$7="Yes"),ISNUMBER(L14),L14&lt;=J14),"TP","FN")),IF(AND(K14&lt;&gt;"",OR(M14&lt;&gt;"Monitoring",Settings!$B$7="Yes")),"FP","TN")),IF(P14="","Needs tag",IF(OR(P14="False alarm",P14="Unscripted – false alarm"),"FP",IF(P14="Duplicate","Duplicate",IF(P14="Late (real act)","Late","Excluded"))))))</f>
        <v/>
      </c>
      <c r="R14" s="47" t="n"/>
      <c r="S14" s="43" t="n"/>
      <c r="T14" s="43" t="n"/>
      <c r="U14" s="43" t="n"/>
      <c r="V14" s="47" t="n"/>
      <c r="W14" s="47" t="n"/>
      <c r="X14" s="52" t="n"/>
      <c r="Y14" s="43" t="n"/>
      <c r="Z14" s="55">
        <f>IF(OR(Y14="",Q14=""),"",IF(Y14=Q14,"OK","MISMATCH"))</f>
        <v/>
      </c>
      <c r="AA14" s="43" t="n"/>
    </row>
    <row r="15" ht="15" customHeight="1" s="35">
      <c r="A15" s="43" t="n"/>
      <c r="B15" s="47" t="n"/>
      <c r="C15" s="47" t="n"/>
      <c r="D15" s="47" t="n"/>
      <c r="E15" s="43" t="n"/>
      <c r="F15" s="52" t="n"/>
      <c r="G15" s="43" t="n"/>
      <c r="H15" s="51" t="n"/>
      <c r="I15" s="53">
        <f>IF(B15&lt;&gt;"Expected","",IF(C15="Parking Obstruction",IF(G15="Validation",Settings!$B$9,Settings!$B$8),IF(C15="Drinking",IF(G15="Validation",Settings!$B$11,Settings!$B$10),0)))</f>
        <v/>
      </c>
      <c r="J15" s="54">
        <f>IF(OR(B15&lt;&gt;"Expected",D15&lt;&gt;"Violation",H15=""),"",H15+I15+Settings!$B$5)</f>
        <v/>
      </c>
      <c r="K15" s="43" t="n"/>
      <c r="L15" s="51" t="n"/>
      <c r="M15" s="43" t="n"/>
      <c r="N15" s="54">
        <f>IF(AND(B15="Expected",D15="Violation",K15&lt;&gt;"",ISNUMBER(L15),ISNUMBER(H15)),L15-H15-I15,"")</f>
        <v/>
      </c>
      <c r="O15" s="43" t="n"/>
      <c r="P15" s="47" t="n"/>
      <c r="Q15" s="55">
        <f>IF(A15="","",IF(B15="Expected",IF(D15="Violation",IF(H15="","Needs start",IF(AND(K15&lt;&gt;"",OR(M15&lt;&gt;"Monitoring",Settings!$B$7="Yes"),ISNUMBER(L15),L15&lt;=J15),"TP","FN")),IF(AND(K15&lt;&gt;"",OR(M15&lt;&gt;"Monitoring",Settings!$B$7="Yes")),"FP","TN")),IF(P15="","Needs tag",IF(OR(P15="False alarm",P15="Unscripted – false alarm"),"FP",IF(P15="Duplicate","Duplicate",IF(P15="Late (real act)","Late","Excluded"))))))</f>
        <v/>
      </c>
      <c r="R15" s="47" t="n"/>
      <c r="S15" s="43" t="n"/>
      <c r="T15" s="43" t="n"/>
      <c r="U15" s="43" t="n"/>
      <c r="V15" s="47" t="n"/>
      <c r="W15" s="47" t="n"/>
      <c r="X15" s="52" t="n"/>
      <c r="Y15" s="43" t="n"/>
      <c r="Z15" s="55">
        <f>IF(OR(Y15="",Q15=""),"",IF(Y15=Q15,"OK","MISMATCH"))</f>
        <v/>
      </c>
      <c r="AA15" s="43" t="n"/>
    </row>
    <row r="16" ht="15" customHeight="1" s="35">
      <c r="A16" s="43" t="n"/>
      <c r="B16" s="47" t="n"/>
      <c r="C16" s="47" t="n"/>
      <c r="D16" s="47" t="n"/>
      <c r="E16" s="43" t="n"/>
      <c r="F16" s="52" t="n"/>
      <c r="G16" s="43" t="n"/>
      <c r="H16" s="51" t="n"/>
      <c r="I16" s="53">
        <f>IF(B16&lt;&gt;"Expected","",IF(C16="Parking Obstruction",IF(G16="Validation",Settings!$B$9,Settings!$B$8),IF(C16="Drinking",IF(G16="Validation",Settings!$B$11,Settings!$B$10),0)))</f>
        <v/>
      </c>
      <c r="J16" s="54">
        <f>IF(OR(B16&lt;&gt;"Expected",D16&lt;&gt;"Violation",H16=""),"",H16+I16+Settings!$B$5)</f>
        <v/>
      </c>
      <c r="K16" s="43" t="n"/>
      <c r="L16" s="51" t="n"/>
      <c r="M16" s="43" t="n"/>
      <c r="N16" s="54">
        <f>IF(AND(B16="Expected",D16="Violation",K16&lt;&gt;"",ISNUMBER(L16),ISNUMBER(H16)),L16-H16-I16,"")</f>
        <v/>
      </c>
      <c r="O16" s="43" t="n"/>
      <c r="P16" s="47" t="n"/>
      <c r="Q16" s="55">
        <f>IF(A16="","",IF(B16="Expected",IF(D16="Violation",IF(H16="","Needs start",IF(AND(K16&lt;&gt;"",OR(M16&lt;&gt;"Monitoring",Settings!$B$7="Yes"),ISNUMBER(L16),L16&lt;=J16),"TP","FN")),IF(AND(K16&lt;&gt;"",OR(M16&lt;&gt;"Monitoring",Settings!$B$7="Yes")),"FP","TN")),IF(P16="","Needs tag",IF(OR(P16="False alarm",P16="Unscripted – false alarm"),"FP",IF(P16="Duplicate","Duplicate",IF(P16="Late (real act)","Late","Excluded"))))))</f>
        <v/>
      </c>
      <c r="R16" s="47" t="n"/>
      <c r="S16" s="43" t="n"/>
      <c r="T16" s="43" t="n"/>
      <c r="U16" s="43" t="n"/>
      <c r="V16" s="47" t="n"/>
      <c r="W16" s="47" t="n"/>
      <c r="X16" s="52" t="n"/>
      <c r="Y16" s="43" t="n"/>
      <c r="Z16" s="55">
        <f>IF(OR(Y16="",Q16=""),"",IF(Y16=Q16,"OK","MISMATCH"))</f>
        <v/>
      </c>
      <c r="AA16" s="43" t="n"/>
    </row>
    <row r="17" ht="15" customHeight="1" s="35">
      <c r="A17" s="43" t="n"/>
      <c r="B17" s="47" t="n"/>
      <c r="C17" s="47" t="n"/>
      <c r="D17" s="47" t="n"/>
      <c r="E17" s="43" t="n"/>
      <c r="F17" s="52" t="n"/>
      <c r="G17" s="43" t="n"/>
      <c r="H17" s="51" t="n"/>
      <c r="I17" s="53">
        <f>IF(B17&lt;&gt;"Expected","",IF(C17="Parking Obstruction",IF(G17="Validation",Settings!$B$9,Settings!$B$8),IF(C17="Drinking",IF(G17="Validation",Settings!$B$11,Settings!$B$10),0)))</f>
        <v/>
      </c>
      <c r="J17" s="54">
        <f>IF(OR(B17&lt;&gt;"Expected",D17&lt;&gt;"Violation",H17=""),"",H17+I17+Settings!$B$5)</f>
        <v/>
      </c>
      <c r="K17" s="43" t="n"/>
      <c r="L17" s="51" t="n"/>
      <c r="M17" s="43" t="n"/>
      <c r="N17" s="54">
        <f>IF(AND(B17="Expected",D17="Violation",K17&lt;&gt;"",ISNUMBER(L17),ISNUMBER(H17)),L17-H17-I17,"")</f>
        <v/>
      </c>
      <c r="O17" s="43" t="n"/>
      <c r="P17" s="47" t="n"/>
      <c r="Q17" s="55">
        <f>IF(A17="","",IF(B17="Expected",IF(D17="Violation",IF(H17="","Needs start",IF(AND(K17&lt;&gt;"",OR(M17&lt;&gt;"Monitoring",Settings!$B$7="Yes"),ISNUMBER(L17),L17&lt;=J17),"TP","FN")),IF(AND(K17&lt;&gt;"",OR(M17&lt;&gt;"Monitoring",Settings!$B$7="Yes")),"FP","TN")),IF(P17="","Needs tag",IF(OR(P17="False alarm",P17="Unscripted – false alarm"),"FP",IF(P17="Duplicate","Duplicate",IF(P17="Late (real act)","Late","Excluded"))))))</f>
        <v/>
      </c>
      <c r="R17" s="47" t="n"/>
      <c r="S17" s="43" t="n"/>
      <c r="T17" s="43" t="n"/>
      <c r="U17" s="43" t="n"/>
      <c r="V17" s="47" t="n"/>
      <c r="W17" s="47" t="n"/>
      <c r="X17" s="52" t="n"/>
      <c r="Y17" s="43" t="n"/>
      <c r="Z17" s="55">
        <f>IF(OR(Y17="",Q17=""),"",IF(Y17=Q17,"OK","MISMATCH"))</f>
        <v/>
      </c>
      <c r="AA17" s="43" t="n"/>
    </row>
    <row r="18" ht="15" customHeight="1" s="35">
      <c r="A18" s="43" t="n"/>
      <c r="B18" s="47" t="n"/>
      <c r="C18" s="47" t="n"/>
      <c r="D18" s="47" t="n"/>
      <c r="E18" s="43" t="n"/>
      <c r="F18" s="52" t="n"/>
      <c r="G18" s="43" t="n"/>
      <c r="H18" s="51" t="n"/>
      <c r="I18" s="53">
        <f>IF(B18&lt;&gt;"Expected","",IF(C18="Parking Obstruction",IF(G18="Validation",Settings!$B$9,Settings!$B$8),IF(C18="Drinking",IF(G18="Validation",Settings!$B$11,Settings!$B$10),0)))</f>
        <v/>
      </c>
      <c r="J18" s="54">
        <f>IF(OR(B18&lt;&gt;"Expected",D18&lt;&gt;"Violation",H18=""),"",H18+I18+Settings!$B$5)</f>
        <v/>
      </c>
      <c r="K18" s="43" t="n"/>
      <c r="L18" s="51" t="n"/>
      <c r="M18" s="43" t="n"/>
      <c r="N18" s="54">
        <f>IF(AND(B18="Expected",D18="Violation",K18&lt;&gt;"",ISNUMBER(L18),ISNUMBER(H18)),L18-H18-I18,"")</f>
        <v/>
      </c>
      <c r="O18" s="43" t="n"/>
      <c r="P18" s="47" t="n"/>
      <c r="Q18" s="55">
        <f>IF(A18="","",IF(B18="Expected",IF(D18="Violation",IF(H18="","Needs start",IF(AND(K18&lt;&gt;"",OR(M18&lt;&gt;"Monitoring",Settings!$B$7="Yes"),ISNUMBER(L18),L18&lt;=J18),"TP","FN")),IF(AND(K18&lt;&gt;"",OR(M18&lt;&gt;"Monitoring",Settings!$B$7="Yes")),"FP","TN")),IF(P18="","Needs tag",IF(OR(P18="False alarm",P18="Unscripted – false alarm"),"FP",IF(P18="Duplicate","Duplicate",IF(P18="Late (real act)","Late","Excluded"))))))</f>
        <v/>
      </c>
      <c r="R18" s="47" t="n"/>
      <c r="S18" s="43" t="n"/>
      <c r="T18" s="43" t="n"/>
      <c r="U18" s="43" t="n"/>
      <c r="V18" s="47" t="n"/>
      <c r="W18" s="47" t="n"/>
      <c r="X18" s="52" t="n"/>
      <c r="Y18" s="43" t="n"/>
      <c r="Z18" s="55">
        <f>IF(OR(Y18="",Q18=""),"",IF(Y18=Q18,"OK","MISMATCH"))</f>
        <v/>
      </c>
      <c r="AA18" s="43" t="n"/>
    </row>
    <row r="19" ht="15" customHeight="1" s="35">
      <c r="A19" s="43" t="n"/>
      <c r="B19" s="47" t="n"/>
      <c r="C19" s="47" t="n"/>
      <c r="D19" s="47" t="n"/>
      <c r="E19" s="43" t="n"/>
      <c r="F19" s="52" t="n"/>
      <c r="G19" s="43" t="n"/>
      <c r="H19" s="51" t="n"/>
      <c r="I19" s="53">
        <f>IF(B19&lt;&gt;"Expected","",IF(C19="Parking Obstruction",IF(G19="Validation",Settings!$B$9,Settings!$B$8),IF(C19="Drinking",IF(G19="Validation",Settings!$B$11,Settings!$B$10),0)))</f>
        <v/>
      </c>
      <c r="J19" s="54">
        <f>IF(OR(B19&lt;&gt;"Expected",D19&lt;&gt;"Violation",H19=""),"",H19+I19+Settings!$B$5)</f>
        <v/>
      </c>
      <c r="K19" s="43" t="n"/>
      <c r="L19" s="51" t="n"/>
      <c r="M19" s="43" t="n"/>
      <c r="N19" s="54">
        <f>IF(AND(B19="Expected",D19="Violation",K19&lt;&gt;"",ISNUMBER(L19),ISNUMBER(H19)),L19-H19-I19,"")</f>
        <v/>
      </c>
      <c r="O19" s="43" t="n"/>
      <c r="P19" s="47" t="n"/>
      <c r="Q19" s="55">
        <f>IF(A19="","",IF(B19="Expected",IF(D19="Violation",IF(H19="","Needs start",IF(AND(K19&lt;&gt;"",OR(M19&lt;&gt;"Monitoring",Settings!$B$7="Yes"),ISNUMBER(L19),L19&lt;=J19),"TP","FN")),IF(AND(K19&lt;&gt;"",OR(M19&lt;&gt;"Monitoring",Settings!$B$7="Yes")),"FP","TN")),IF(P19="","Needs tag",IF(OR(P19="False alarm",P19="Unscripted – false alarm"),"FP",IF(P19="Duplicate","Duplicate",IF(P19="Late (real act)","Late","Excluded"))))))</f>
        <v/>
      </c>
      <c r="R19" s="47" t="n"/>
      <c r="S19" s="43" t="n"/>
      <c r="T19" s="43" t="n"/>
      <c r="U19" s="43" t="n"/>
      <c r="V19" s="47" t="n"/>
      <c r="W19" s="47" t="n"/>
      <c r="X19" s="52" t="n"/>
      <c r="Y19" s="43" t="n"/>
      <c r="Z19" s="55">
        <f>IF(OR(Y19="",Q19=""),"",IF(Y19=Q19,"OK","MISMATCH"))</f>
        <v/>
      </c>
      <c r="AA19" s="43" t="n"/>
    </row>
    <row r="20" ht="15" customHeight="1" s="35">
      <c r="A20" s="43" t="n"/>
      <c r="B20" s="47" t="n"/>
      <c r="C20" s="47" t="n"/>
      <c r="D20" s="47" t="n"/>
      <c r="E20" s="43" t="n"/>
      <c r="F20" s="52" t="n"/>
      <c r="G20" s="43" t="n"/>
      <c r="H20" s="51" t="n"/>
      <c r="I20" s="53">
        <f>IF(B20&lt;&gt;"Expected","",IF(C20="Parking Obstruction",IF(G20="Validation",Settings!$B$9,Settings!$B$8),IF(C20="Drinking",IF(G20="Validation",Settings!$B$11,Settings!$B$10),0)))</f>
        <v/>
      </c>
      <c r="J20" s="54">
        <f>IF(OR(B20&lt;&gt;"Expected",D20&lt;&gt;"Violation",H20=""),"",H20+I20+Settings!$B$5)</f>
        <v/>
      </c>
      <c r="K20" s="43" t="n"/>
      <c r="L20" s="51" t="n"/>
      <c r="M20" s="43" t="n"/>
      <c r="N20" s="54">
        <f>IF(AND(B20="Expected",D20="Violation",K20&lt;&gt;"",ISNUMBER(L20),ISNUMBER(H20)),L20-H20-I20,"")</f>
        <v/>
      </c>
      <c r="O20" s="43" t="n"/>
      <c r="P20" s="47" t="n"/>
      <c r="Q20" s="55">
        <f>IF(A20="","",IF(B20="Expected",IF(D20="Violation",IF(H20="","Needs start",IF(AND(K20&lt;&gt;"",OR(M20&lt;&gt;"Monitoring",Settings!$B$7="Yes"),ISNUMBER(L20),L20&lt;=J20),"TP","FN")),IF(AND(K20&lt;&gt;"",OR(M20&lt;&gt;"Monitoring",Settings!$B$7="Yes")),"FP","TN")),IF(P20="","Needs tag",IF(OR(P20="False alarm",P20="Unscripted – false alarm"),"FP",IF(P20="Duplicate","Duplicate",IF(P20="Late (real act)","Late","Excluded"))))))</f>
        <v/>
      </c>
      <c r="R20" s="47" t="n"/>
      <c r="S20" s="43" t="n"/>
      <c r="T20" s="43" t="n"/>
      <c r="U20" s="43" t="n"/>
      <c r="V20" s="47" t="n"/>
      <c r="W20" s="47" t="n"/>
      <c r="X20" s="52" t="n"/>
      <c r="Y20" s="43" t="n"/>
      <c r="Z20" s="55">
        <f>IF(OR(Y20="",Q20=""),"",IF(Y20=Q20,"OK","MISMATCH"))</f>
        <v/>
      </c>
      <c r="AA20" s="43" t="n"/>
    </row>
    <row r="21" ht="15" customHeight="1" s="35">
      <c r="A21" s="43" t="n"/>
      <c r="B21" s="47" t="n"/>
      <c r="C21" s="47" t="n"/>
      <c r="D21" s="47" t="n"/>
      <c r="E21" s="43" t="n"/>
      <c r="F21" s="52" t="n"/>
      <c r="G21" s="43" t="n"/>
      <c r="H21" s="51" t="n"/>
      <c r="I21" s="53">
        <f>IF(B21&lt;&gt;"Expected","",IF(C21="Parking Obstruction",IF(G21="Validation",Settings!$B$9,Settings!$B$8),IF(C21="Drinking",IF(G21="Validation",Settings!$B$11,Settings!$B$10),0)))</f>
        <v/>
      </c>
      <c r="J21" s="54">
        <f>IF(OR(B21&lt;&gt;"Expected",D21&lt;&gt;"Violation",H21=""),"",H21+I21+Settings!$B$5)</f>
        <v/>
      </c>
      <c r="K21" s="43" t="n"/>
      <c r="L21" s="51" t="n"/>
      <c r="M21" s="43" t="n"/>
      <c r="N21" s="54">
        <f>IF(AND(B21="Expected",D21="Violation",K21&lt;&gt;"",ISNUMBER(L21),ISNUMBER(H21)),L21-H21-I21,"")</f>
        <v/>
      </c>
      <c r="O21" s="43" t="n"/>
      <c r="P21" s="47" t="n"/>
      <c r="Q21" s="55">
        <f>IF(A21="","",IF(B21="Expected",IF(D21="Violation",IF(H21="","Needs start",IF(AND(K21&lt;&gt;"",OR(M21&lt;&gt;"Monitoring",Settings!$B$7="Yes"),ISNUMBER(L21),L21&lt;=J21),"TP","FN")),IF(AND(K21&lt;&gt;"",OR(M21&lt;&gt;"Monitoring",Settings!$B$7="Yes")),"FP","TN")),IF(P21="","Needs tag",IF(OR(P21="False alarm",P21="Unscripted – false alarm"),"FP",IF(P21="Duplicate","Duplicate",IF(P21="Late (real act)","Late","Excluded"))))))</f>
        <v/>
      </c>
      <c r="R21" s="47" t="n"/>
      <c r="S21" s="43" t="n"/>
      <c r="T21" s="43" t="n"/>
      <c r="U21" s="43" t="n"/>
      <c r="V21" s="47" t="n"/>
      <c r="W21" s="47" t="n"/>
      <c r="X21" s="52" t="n"/>
      <c r="Y21" s="43" t="n"/>
      <c r="Z21" s="55">
        <f>IF(OR(Y21="",Q21=""),"",IF(Y21=Q21,"OK","MISMATCH"))</f>
        <v/>
      </c>
      <c r="AA21" s="43" t="n"/>
    </row>
    <row r="22" ht="15" customHeight="1" s="35">
      <c r="A22" s="43" t="n"/>
      <c r="B22" s="47" t="n"/>
      <c r="C22" s="47" t="n"/>
      <c r="D22" s="47" t="n"/>
      <c r="E22" s="43" t="n"/>
      <c r="F22" s="52" t="n"/>
      <c r="G22" s="43" t="n"/>
      <c r="H22" s="51" t="n"/>
      <c r="I22" s="53">
        <f>IF(B22&lt;&gt;"Expected","",IF(C22="Parking Obstruction",IF(G22="Validation",Settings!$B$9,Settings!$B$8),IF(C22="Drinking",IF(G22="Validation",Settings!$B$11,Settings!$B$10),0)))</f>
        <v/>
      </c>
      <c r="J22" s="54">
        <f>IF(OR(B22&lt;&gt;"Expected",D22&lt;&gt;"Violation",H22=""),"",H22+I22+Settings!$B$5)</f>
        <v/>
      </c>
      <c r="K22" s="43" t="n"/>
      <c r="L22" s="51" t="n"/>
      <c r="M22" s="43" t="n"/>
      <c r="N22" s="54">
        <f>IF(AND(B22="Expected",D22="Violation",K22&lt;&gt;"",ISNUMBER(L22),ISNUMBER(H22)),L22-H22-I22,"")</f>
        <v/>
      </c>
      <c r="O22" s="43" t="n"/>
      <c r="P22" s="47" t="n"/>
      <c r="Q22" s="55">
        <f>IF(A22="","",IF(B22="Expected",IF(D22="Violation",IF(H22="","Needs start",IF(AND(K22&lt;&gt;"",OR(M22&lt;&gt;"Monitoring",Settings!$B$7="Yes"),ISNUMBER(L22),L22&lt;=J22),"TP","FN")),IF(AND(K22&lt;&gt;"",OR(M22&lt;&gt;"Monitoring",Settings!$B$7="Yes")),"FP","TN")),IF(P22="","Needs tag",IF(OR(P22="False alarm",P22="Unscripted – false alarm"),"FP",IF(P22="Duplicate","Duplicate",IF(P22="Late (real act)","Late","Excluded"))))))</f>
        <v/>
      </c>
      <c r="R22" s="47" t="n"/>
      <c r="S22" s="43" t="n"/>
      <c r="T22" s="43" t="n"/>
      <c r="U22" s="43" t="n"/>
      <c r="V22" s="47" t="n"/>
      <c r="W22" s="47" t="n"/>
      <c r="X22" s="52" t="n"/>
      <c r="Y22" s="43" t="n"/>
      <c r="Z22" s="55">
        <f>IF(OR(Y22="",Q22=""),"",IF(Y22=Q22,"OK","MISMATCH"))</f>
        <v/>
      </c>
      <c r="AA22" s="43" t="n"/>
    </row>
    <row r="23" ht="15" customHeight="1" s="35">
      <c r="A23" s="43" t="n"/>
      <c r="B23" s="47" t="n"/>
      <c r="C23" s="47" t="n"/>
      <c r="D23" s="47" t="n"/>
      <c r="E23" s="43" t="n"/>
      <c r="F23" s="52" t="n"/>
      <c r="G23" s="43" t="n"/>
      <c r="H23" s="51" t="n"/>
      <c r="I23" s="53">
        <f>IF(B23&lt;&gt;"Expected","",IF(C23="Parking Obstruction",IF(G23="Validation",Settings!$B$9,Settings!$B$8),IF(C23="Drinking",IF(G23="Validation",Settings!$B$11,Settings!$B$10),0)))</f>
        <v/>
      </c>
      <c r="J23" s="54">
        <f>IF(OR(B23&lt;&gt;"Expected",D23&lt;&gt;"Violation",H23=""),"",H23+I23+Settings!$B$5)</f>
        <v/>
      </c>
      <c r="K23" s="43" t="n"/>
      <c r="L23" s="51" t="n"/>
      <c r="M23" s="43" t="n"/>
      <c r="N23" s="54">
        <f>IF(AND(B23="Expected",D23="Violation",K23&lt;&gt;"",ISNUMBER(L23),ISNUMBER(H23)),L23-H23-I23,"")</f>
        <v/>
      </c>
      <c r="O23" s="43" t="n"/>
      <c r="P23" s="47" t="n"/>
      <c r="Q23" s="55">
        <f>IF(A23="","",IF(B23="Expected",IF(D23="Violation",IF(H23="","Needs start",IF(AND(K23&lt;&gt;"",OR(M23&lt;&gt;"Monitoring",Settings!$B$7="Yes"),ISNUMBER(L23),L23&lt;=J23),"TP","FN")),IF(AND(K23&lt;&gt;"",OR(M23&lt;&gt;"Monitoring",Settings!$B$7="Yes")),"FP","TN")),IF(P23="","Needs tag",IF(OR(P23="False alarm",P23="Unscripted – false alarm"),"FP",IF(P23="Duplicate","Duplicate",IF(P23="Late (real act)","Late","Excluded"))))))</f>
        <v/>
      </c>
      <c r="R23" s="47" t="n"/>
      <c r="S23" s="43" t="n"/>
      <c r="T23" s="43" t="n"/>
      <c r="U23" s="43" t="n"/>
      <c r="V23" s="47" t="n"/>
      <c r="W23" s="47" t="n"/>
      <c r="X23" s="52" t="n"/>
      <c r="Y23" s="43" t="n"/>
      <c r="Z23" s="55">
        <f>IF(OR(Y23="",Q23=""),"",IF(Y23=Q23,"OK","MISMATCH"))</f>
        <v/>
      </c>
      <c r="AA23" s="43" t="n"/>
    </row>
    <row r="24" ht="15" customHeight="1" s="35">
      <c r="A24" s="43" t="n"/>
      <c r="B24" s="47" t="n"/>
      <c r="C24" s="47" t="n"/>
      <c r="D24" s="47" t="n"/>
      <c r="E24" s="43" t="n"/>
      <c r="F24" s="52" t="n"/>
      <c r="G24" s="43" t="n"/>
      <c r="H24" s="51" t="n"/>
      <c r="I24" s="53">
        <f>IF(B24&lt;&gt;"Expected","",IF(C24="Parking Obstruction",IF(G24="Validation",Settings!$B$9,Settings!$B$8),IF(C24="Drinking",IF(G24="Validation",Settings!$B$11,Settings!$B$10),0)))</f>
        <v/>
      </c>
      <c r="J24" s="54">
        <f>IF(OR(B24&lt;&gt;"Expected",D24&lt;&gt;"Violation",H24=""),"",H24+I24+Settings!$B$5)</f>
        <v/>
      </c>
      <c r="K24" s="43" t="n"/>
      <c r="L24" s="51" t="n"/>
      <c r="M24" s="43" t="n"/>
      <c r="N24" s="54">
        <f>IF(AND(B24="Expected",D24="Violation",K24&lt;&gt;"",ISNUMBER(L24),ISNUMBER(H24)),L24-H24-I24,"")</f>
        <v/>
      </c>
      <c r="O24" s="43" t="n"/>
      <c r="P24" s="47" t="n"/>
      <c r="Q24" s="55">
        <f>IF(A24="","",IF(B24="Expected",IF(D24="Violation",IF(H24="","Needs start",IF(AND(K24&lt;&gt;"",OR(M24&lt;&gt;"Monitoring",Settings!$B$7="Yes"),ISNUMBER(L24),L24&lt;=J24),"TP","FN")),IF(AND(K24&lt;&gt;"",OR(M24&lt;&gt;"Monitoring",Settings!$B$7="Yes")),"FP","TN")),IF(P24="","Needs tag",IF(OR(P24="False alarm",P24="Unscripted – false alarm"),"FP",IF(P24="Duplicate","Duplicate",IF(P24="Late (real act)","Late","Excluded"))))))</f>
        <v/>
      </c>
      <c r="R24" s="47" t="n"/>
      <c r="S24" s="43" t="n"/>
      <c r="T24" s="43" t="n"/>
      <c r="U24" s="43" t="n"/>
      <c r="V24" s="47" t="n"/>
      <c r="W24" s="47" t="n"/>
      <c r="X24" s="52" t="n"/>
      <c r="Y24" s="43" t="n"/>
      <c r="Z24" s="55">
        <f>IF(OR(Y24="",Q24=""),"",IF(Y24=Q24,"OK","MISMATCH"))</f>
        <v/>
      </c>
      <c r="AA24" s="43" t="n"/>
    </row>
    <row r="25" ht="15" customHeight="1" s="35">
      <c r="A25" s="43" t="n"/>
      <c r="B25" s="47" t="n"/>
      <c r="C25" s="47" t="n"/>
      <c r="D25" s="47" t="n"/>
      <c r="E25" s="43" t="n"/>
      <c r="F25" s="52" t="n"/>
      <c r="G25" s="43" t="n"/>
      <c r="H25" s="51" t="n"/>
      <c r="I25" s="53">
        <f>IF(B25&lt;&gt;"Expected","",IF(C25="Parking Obstruction",IF(G25="Validation",Settings!$B$9,Settings!$B$8),IF(C25="Drinking",IF(G25="Validation",Settings!$B$11,Settings!$B$10),0)))</f>
        <v/>
      </c>
      <c r="J25" s="54">
        <f>IF(OR(B25&lt;&gt;"Expected",D25&lt;&gt;"Violation",H25=""),"",H25+I25+Settings!$B$5)</f>
        <v/>
      </c>
      <c r="K25" s="43" t="n"/>
      <c r="L25" s="51" t="n"/>
      <c r="M25" s="43" t="n"/>
      <c r="N25" s="54">
        <f>IF(AND(B25="Expected",D25="Violation",K25&lt;&gt;"",ISNUMBER(L25),ISNUMBER(H25)),L25-H25-I25,"")</f>
        <v/>
      </c>
      <c r="O25" s="43" t="n"/>
      <c r="P25" s="47" t="n"/>
      <c r="Q25" s="55">
        <f>IF(A25="","",IF(B25="Expected",IF(D25="Violation",IF(H25="","Needs start",IF(AND(K25&lt;&gt;"",OR(M25&lt;&gt;"Monitoring",Settings!$B$7="Yes"),ISNUMBER(L25),L25&lt;=J25),"TP","FN")),IF(AND(K25&lt;&gt;"",OR(M25&lt;&gt;"Monitoring",Settings!$B$7="Yes")),"FP","TN")),IF(P25="","Needs tag",IF(OR(P25="False alarm",P25="Unscripted – false alarm"),"FP",IF(P25="Duplicate","Duplicate",IF(P25="Late (real act)","Late","Excluded"))))))</f>
        <v/>
      </c>
      <c r="R25" s="47" t="n"/>
      <c r="S25" s="43" t="n"/>
      <c r="T25" s="43" t="n"/>
      <c r="U25" s="43" t="n"/>
      <c r="V25" s="47" t="n"/>
      <c r="W25" s="47" t="n"/>
      <c r="X25" s="52" t="n"/>
      <c r="Y25" s="43" t="n"/>
      <c r="Z25" s="55">
        <f>IF(OR(Y25="",Q25=""),"",IF(Y25=Q25,"OK","MISMATCH"))</f>
        <v/>
      </c>
      <c r="AA25" s="43" t="n"/>
    </row>
    <row r="26" ht="15" customHeight="1" s="35">
      <c r="A26" s="43" t="n"/>
      <c r="B26" s="47" t="n"/>
      <c r="C26" s="47" t="n"/>
      <c r="D26" s="47" t="n"/>
      <c r="E26" s="43" t="n"/>
      <c r="F26" s="52" t="n"/>
      <c r="G26" s="43" t="n"/>
      <c r="H26" s="51" t="n"/>
      <c r="I26" s="53">
        <f>IF(B26&lt;&gt;"Expected","",IF(C26="Parking Obstruction",IF(G26="Validation",Settings!$B$9,Settings!$B$8),IF(C26="Drinking",IF(G26="Validation",Settings!$B$11,Settings!$B$10),0)))</f>
        <v/>
      </c>
      <c r="J26" s="54">
        <f>IF(OR(B26&lt;&gt;"Expected",D26&lt;&gt;"Violation",H26=""),"",H26+I26+Settings!$B$5)</f>
        <v/>
      </c>
      <c r="K26" s="43" t="n"/>
      <c r="L26" s="51" t="n"/>
      <c r="M26" s="43" t="n"/>
      <c r="N26" s="54">
        <f>IF(AND(B26="Expected",D26="Violation",K26&lt;&gt;"",ISNUMBER(L26),ISNUMBER(H26)),L26-H26-I26,"")</f>
        <v/>
      </c>
      <c r="O26" s="43" t="n"/>
      <c r="P26" s="47" t="n"/>
      <c r="Q26" s="55">
        <f>IF(A26="","",IF(B26="Expected",IF(D26="Violation",IF(H26="","Needs start",IF(AND(K26&lt;&gt;"",OR(M26&lt;&gt;"Monitoring",Settings!$B$7="Yes"),ISNUMBER(L26),L26&lt;=J26),"TP","FN")),IF(AND(K26&lt;&gt;"",OR(M26&lt;&gt;"Monitoring",Settings!$B$7="Yes")),"FP","TN")),IF(P26="","Needs tag",IF(OR(P26="False alarm",P26="Unscripted – false alarm"),"FP",IF(P26="Duplicate","Duplicate",IF(P26="Late (real act)","Late","Excluded"))))))</f>
        <v/>
      </c>
      <c r="R26" s="47" t="n"/>
      <c r="S26" s="43" t="n"/>
      <c r="T26" s="43" t="n"/>
      <c r="U26" s="43" t="n"/>
      <c r="V26" s="47" t="n"/>
      <c r="W26" s="47" t="n"/>
      <c r="X26" s="52" t="n"/>
      <c r="Y26" s="43" t="n"/>
      <c r="Z26" s="55">
        <f>IF(OR(Y26="",Q26=""),"",IF(Y26=Q26,"OK","MISMATCH"))</f>
        <v/>
      </c>
      <c r="AA26" s="43" t="n"/>
    </row>
    <row r="27" ht="15" customHeight="1" s="35">
      <c r="A27" s="43" t="n"/>
      <c r="B27" s="47" t="n"/>
      <c r="C27" s="47" t="n"/>
      <c r="D27" s="47" t="n"/>
      <c r="E27" s="43" t="n"/>
      <c r="F27" s="52" t="n"/>
      <c r="G27" s="43" t="n"/>
      <c r="H27" s="51" t="n"/>
      <c r="I27" s="53">
        <f>IF(B27&lt;&gt;"Expected","",IF(C27="Parking Obstruction",IF(G27="Validation",Settings!$B$9,Settings!$B$8),IF(C27="Drinking",IF(G27="Validation",Settings!$B$11,Settings!$B$10),0)))</f>
        <v/>
      </c>
      <c r="J27" s="54">
        <f>IF(OR(B27&lt;&gt;"Expected",D27&lt;&gt;"Violation",H27=""),"",H27+I27+Settings!$B$5)</f>
        <v/>
      </c>
      <c r="K27" s="43" t="n"/>
      <c r="L27" s="51" t="n"/>
      <c r="M27" s="43" t="n"/>
      <c r="N27" s="54">
        <f>IF(AND(B27="Expected",D27="Violation",K27&lt;&gt;"",ISNUMBER(L27),ISNUMBER(H27)),L27-H27-I27,"")</f>
        <v/>
      </c>
      <c r="O27" s="43" t="n"/>
      <c r="P27" s="47" t="n"/>
      <c r="Q27" s="55">
        <f>IF(A27="","",IF(B27="Expected",IF(D27="Violation",IF(H27="","Needs start",IF(AND(K27&lt;&gt;"",OR(M27&lt;&gt;"Monitoring",Settings!$B$7="Yes"),ISNUMBER(L27),L27&lt;=J27),"TP","FN")),IF(AND(K27&lt;&gt;"",OR(M27&lt;&gt;"Monitoring",Settings!$B$7="Yes")),"FP","TN")),IF(P27="","Needs tag",IF(OR(P27="False alarm",P27="Unscripted – false alarm"),"FP",IF(P27="Duplicate","Duplicate",IF(P27="Late (real act)","Late","Excluded"))))))</f>
        <v/>
      </c>
      <c r="R27" s="47" t="n"/>
      <c r="S27" s="43" t="n"/>
      <c r="T27" s="43" t="n"/>
      <c r="U27" s="43" t="n"/>
      <c r="V27" s="47" t="n"/>
      <c r="W27" s="47" t="n"/>
      <c r="X27" s="52" t="n"/>
      <c r="Y27" s="43" t="n"/>
      <c r="Z27" s="55">
        <f>IF(OR(Y27="",Q27=""),"",IF(Y27=Q27,"OK","MISMATCH"))</f>
        <v/>
      </c>
      <c r="AA27" s="43" t="n"/>
    </row>
    <row r="28" ht="15" customHeight="1" s="35">
      <c r="A28" s="43" t="n"/>
      <c r="B28" s="47" t="n"/>
      <c r="C28" s="47" t="n"/>
      <c r="D28" s="47" t="n"/>
      <c r="E28" s="43" t="n"/>
      <c r="F28" s="52" t="n"/>
      <c r="G28" s="43" t="n"/>
      <c r="H28" s="51" t="n"/>
      <c r="I28" s="53">
        <f>IF(B28&lt;&gt;"Expected","",IF(C28="Parking Obstruction",IF(G28="Validation",Settings!$B$9,Settings!$B$8),IF(C28="Drinking",IF(G28="Validation",Settings!$B$11,Settings!$B$10),0)))</f>
        <v/>
      </c>
      <c r="J28" s="54">
        <f>IF(OR(B28&lt;&gt;"Expected",D28&lt;&gt;"Violation",H28=""),"",H28+I28+Settings!$B$5)</f>
        <v/>
      </c>
      <c r="K28" s="43" t="n"/>
      <c r="L28" s="51" t="n"/>
      <c r="M28" s="43" t="n"/>
      <c r="N28" s="54">
        <f>IF(AND(B28="Expected",D28="Violation",K28&lt;&gt;"",ISNUMBER(L28),ISNUMBER(H28)),L28-H28-I28,"")</f>
        <v/>
      </c>
      <c r="O28" s="43" t="n"/>
      <c r="P28" s="47" t="n"/>
      <c r="Q28" s="55">
        <f>IF(A28="","",IF(B28="Expected",IF(D28="Violation",IF(H28="","Needs start",IF(AND(K28&lt;&gt;"",OR(M28&lt;&gt;"Monitoring",Settings!$B$7="Yes"),ISNUMBER(L28),L28&lt;=J28),"TP","FN")),IF(AND(K28&lt;&gt;"",OR(M28&lt;&gt;"Monitoring",Settings!$B$7="Yes")),"FP","TN")),IF(P28="","Needs tag",IF(OR(P28="False alarm",P28="Unscripted – false alarm"),"FP",IF(P28="Duplicate","Duplicate",IF(P28="Late (real act)","Late","Excluded"))))))</f>
        <v/>
      </c>
      <c r="R28" s="47" t="n"/>
      <c r="S28" s="43" t="n"/>
      <c r="T28" s="43" t="n"/>
      <c r="U28" s="43" t="n"/>
      <c r="V28" s="47" t="n"/>
      <c r="W28" s="47" t="n"/>
      <c r="X28" s="52" t="n"/>
      <c r="Y28" s="43" t="n"/>
      <c r="Z28" s="55">
        <f>IF(OR(Y28="",Q28=""),"",IF(Y28=Q28,"OK","MISMATCH"))</f>
        <v/>
      </c>
      <c r="AA28" s="43" t="n"/>
    </row>
    <row r="29" ht="15" customHeight="1" s="35">
      <c r="A29" s="43" t="n"/>
      <c r="B29" s="47" t="n"/>
      <c r="C29" s="47" t="n"/>
      <c r="D29" s="47" t="n"/>
      <c r="E29" s="43" t="n"/>
      <c r="F29" s="52" t="n"/>
      <c r="G29" s="43" t="n"/>
      <c r="H29" s="51" t="n"/>
      <c r="I29" s="53">
        <f>IF(B29&lt;&gt;"Expected","",IF(C29="Parking Obstruction",IF(G29="Validation",Settings!$B$9,Settings!$B$8),IF(C29="Drinking",IF(G29="Validation",Settings!$B$11,Settings!$B$10),0)))</f>
        <v/>
      </c>
      <c r="J29" s="54">
        <f>IF(OR(B29&lt;&gt;"Expected",D29&lt;&gt;"Violation",H29=""),"",H29+I29+Settings!$B$5)</f>
        <v/>
      </c>
      <c r="K29" s="43" t="n"/>
      <c r="L29" s="51" t="n"/>
      <c r="M29" s="43" t="n"/>
      <c r="N29" s="54">
        <f>IF(AND(B29="Expected",D29="Violation",K29&lt;&gt;"",ISNUMBER(L29),ISNUMBER(H29)),L29-H29-I29,"")</f>
        <v/>
      </c>
      <c r="O29" s="43" t="n"/>
      <c r="P29" s="47" t="n"/>
      <c r="Q29" s="55">
        <f>IF(A29="","",IF(B29="Expected",IF(D29="Violation",IF(H29="","Needs start",IF(AND(K29&lt;&gt;"",OR(M29&lt;&gt;"Monitoring",Settings!$B$7="Yes"),ISNUMBER(L29),L29&lt;=J29),"TP","FN")),IF(AND(K29&lt;&gt;"",OR(M29&lt;&gt;"Monitoring",Settings!$B$7="Yes")),"FP","TN")),IF(P29="","Needs tag",IF(OR(P29="False alarm",P29="Unscripted – false alarm"),"FP",IF(P29="Duplicate","Duplicate",IF(P29="Late (real act)","Late","Excluded"))))))</f>
        <v/>
      </c>
      <c r="R29" s="47" t="n"/>
      <c r="S29" s="43" t="n"/>
      <c r="T29" s="43" t="n"/>
      <c r="U29" s="43" t="n"/>
      <c r="V29" s="47" t="n"/>
      <c r="W29" s="47" t="n"/>
      <c r="X29" s="52" t="n"/>
      <c r="Y29" s="43" t="n"/>
      <c r="Z29" s="55">
        <f>IF(OR(Y29="",Q29=""),"",IF(Y29=Q29,"OK","MISMATCH"))</f>
        <v/>
      </c>
      <c r="AA29" s="43" t="n"/>
    </row>
    <row r="30" ht="15" customHeight="1" s="35">
      <c r="A30" s="43" t="n"/>
      <c r="B30" s="47" t="n"/>
      <c r="C30" s="47" t="n"/>
      <c r="D30" s="47" t="n"/>
      <c r="E30" s="43" t="n"/>
      <c r="F30" s="52" t="n"/>
      <c r="G30" s="43" t="n"/>
      <c r="H30" s="51" t="n"/>
      <c r="I30" s="53">
        <f>IF(B30&lt;&gt;"Expected","",IF(C30="Parking Obstruction",IF(G30="Validation",Settings!$B$9,Settings!$B$8),IF(C30="Drinking",IF(G30="Validation",Settings!$B$11,Settings!$B$10),0)))</f>
        <v/>
      </c>
      <c r="J30" s="54">
        <f>IF(OR(B30&lt;&gt;"Expected",D30&lt;&gt;"Violation",H30=""),"",H30+I30+Settings!$B$5)</f>
        <v/>
      </c>
      <c r="K30" s="43" t="n"/>
      <c r="L30" s="51" t="n"/>
      <c r="M30" s="43" t="n"/>
      <c r="N30" s="54">
        <f>IF(AND(B30="Expected",D30="Violation",K30&lt;&gt;"",ISNUMBER(L30),ISNUMBER(H30)),L30-H30-I30,"")</f>
        <v/>
      </c>
      <c r="O30" s="43" t="n"/>
      <c r="P30" s="47" t="n"/>
      <c r="Q30" s="55">
        <f>IF(A30="","",IF(B30="Expected",IF(D30="Violation",IF(H30="","Needs start",IF(AND(K30&lt;&gt;"",OR(M30&lt;&gt;"Monitoring",Settings!$B$7="Yes"),ISNUMBER(L30),L30&lt;=J30),"TP","FN")),IF(AND(K30&lt;&gt;"",OR(M30&lt;&gt;"Monitoring",Settings!$B$7="Yes")),"FP","TN")),IF(P30="","Needs tag",IF(OR(P30="False alarm",P30="Unscripted – false alarm"),"FP",IF(P30="Duplicate","Duplicate",IF(P30="Late (real act)","Late","Excluded"))))))</f>
        <v/>
      </c>
      <c r="R30" s="47" t="n"/>
      <c r="S30" s="43" t="n"/>
      <c r="T30" s="43" t="n"/>
      <c r="U30" s="43" t="n"/>
      <c r="V30" s="47" t="n"/>
      <c r="W30" s="47" t="n"/>
      <c r="X30" s="52" t="n"/>
      <c r="Y30" s="43" t="n"/>
      <c r="Z30" s="55">
        <f>IF(OR(Y30="",Q30=""),"",IF(Y30=Q30,"OK","MISMATCH"))</f>
        <v/>
      </c>
      <c r="AA30" s="43" t="n"/>
    </row>
    <row r="31" ht="15" customHeight="1" s="35">
      <c r="A31" s="43" t="n"/>
      <c r="B31" s="47" t="n"/>
      <c r="C31" s="47" t="n"/>
      <c r="D31" s="47" t="n"/>
      <c r="E31" s="43" t="n"/>
      <c r="F31" s="52" t="n"/>
      <c r="G31" s="43" t="n"/>
      <c r="H31" s="51" t="n"/>
      <c r="I31" s="53">
        <f>IF(B31&lt;&gt;"Expected","",IF(C31="Parking Obstruction",IF(G31="Validation",Settings!$B$9,Settings!$B$8),IF(C31="Drinking",IF(G31="Validation",Settings!$B$11,Settings!$B$10),0)))</f>
        <v/>
      </c>
      <c r="J31" s="54">
        <f>IF(OR(B31&lt;&gt;"Expected",D31&lt;&gt;"Violation",H31=""),"",H31+I31+Settings!$B$5)</f>
        <v/>
      </c>
      <c r="K31" s="43" t="n"/>
      <c r="L31" s="51" t="n"/>
      <c r="M31" s="43" t="n"/>
      <c r="N31" s="54">
        <f>IF(AND(B31="Expected",D31="Violation",K31&lt;&gt;"",ISNUMBER(L31),ISNUMBER(H31)),L31-H31-I31,"")</f>
        <v/>
      </c>
      <c r="O31" s="43" t="n"/>
      <c r="P31" s="47" t="n"/>
      <c r="Q31" s="55">
        <f>IF(A31="","",IF(B31="Expected",IF(D31="Violation",IF(H31="","Needs start",IF(AND(K31&lt;&gt;"",OR(M31&lt;&gt;"Monitoring",Settings!$B$7="Yes"),ISNUMBER(L31),L31&lt;=J31),"TP","FN")),IF(AND(K31&lt;&gt;"",OR(M31&lt;&gt;"Monitoring",Settings!$B$7="Yes")),"FP","TN")),IF(P31="","Needs tag",IF(OR(P31="False alarm",P31="Unscripted – false alarm"),"FP",IF(P31="Duplicate","Duplicate",IF(P31="Late (real act)","Late","Excluded"))))))</f>
        <v/>
      </c>
      <c r="R31" s="47" t="n"/>
      <c r="S31" s="43" t="n"/>
      <c r="T31" s="43" t="n"/>
      <c r="U31" s="43" t="n"/>
      <c r="V31" s="47" t="n"/>
      <c r="W31" s="47" t="n"/>
      <c r="X31" s="52" t="n"/>
      <c r="Y31" s="43" t="n"/>
      <c r="Z31" s="55">
        <f>IF(OR(Y31="",Q31=""),"",IF(Y31=Q31,"OK","MISMATCH"))</f>
        <v/>
      </c>
      <c r="AA31" s="43" t="n"/>
    </row>
    <row r="32" ht="15" customHeight="1" s="35">
      <c r="A32" s="43" t="n"/>
      <c r="B32" s="47" t="n"/>
      <c r="C32" s="47" t="n"/>
      <c r="D32" s="47" t="n"/>
      <c r="E32" s="43" t="n"/>
      <c r="F32" s="52" t="n"/>
      <c r="G32" s="43" t="n"/>
      <c r="H32" s="51" t="n"/>
      <c r="I32" s="53">
        <f>IF(B32&lt;&gt;"Expected","",IF(C32="Parking Obstruction",IF(G32="Validation",Settings!$B$9,Settings!$B$8),IF(C32="Drinking",IF(G32="Validation",Settings!$B$11,Settings!$B$10),0)))</f>
        <v/>
      </c>
      <c r="J32" s="54">
        <f>IF(OR(B32&lt;&gt;"Expected",D32&lt;&gt;"Violation",H32=""),"",H32+I32+Settings!$B$5)</f>
        <v/>
      </c>
      <c r="K32" s="43" t="n"/>
      <c r="L32" s="51" t="n"/>
      <c r="M32" s="43" t="n"/>
      <c r="N32" s="54">
        <f>IF(AND(B32="Expected",D32="Violation",K32&lt;&gt;"",ISNUMBER(L32),ISNUMBER(H32)),L32-H32-I32,"")</f>
        <v/>
      </c>
      <c r="O32" s="43" t="n"/>
      <c r="P32" s="47" t="n"/>
      <c r="Q32" s="55">
        <f>IF(A32="","",IF(B32="Expected",IF(D32="Violation",IF(H32="","Needs start",IF(AND(K32&lt;&gt;"",OR(M32&lt;&gt;"Monitoring",Settings!$B$7="Yes"),ISNUMBER(L32),L32&lt;=J32),"TP","FN")),IF(AND(K32&lt;&gt;"",OR(M32&lt;&gt;"Monitoring",Settings!$B$7="Yes")),"FP","TN")),IF(P32="","Needs tag",IF(OR(P32="False alarm",P32="Unscripted – false alarm"),"FP",IF(P32="Duplicate","Duplicate",IF(P32="Late (real act)","Late","Excluded"))))))</f>
        <v/>
      </c>
      <c r="R32" s="47" t="n"/>
      <c r="S32" s="43" t="n"/>
      <c r="T32" s="43" t="n"/>
      <c r="U32" s="43" t="n"/>
      <c r="V32" s="47" t="n"/>
      <c r="W32" s="47" t="n"/>
      <c r="X32" s="52" t="n"/>
      <c r="Y32" s="43" t="n"/>
      <c r="Z32" s="55">
        <f>IF(OR(Y32="",Q32=""),"",IF(Y32=Q32,"OK","MISMATCH"))</f>
        <v/>
      </c>
      <c r="AA32" s="43" t="n"/>
    </row>
    <row r="33" ht="15" customHeight="1" s="35">
      <c r="A33" s="43" t="n"/>
      <c r="B33" s="47" t="n"/>
      <c r="C33" s="47" t="n"/>
      <c r="D33" s="47" t="n"/>
      <c r="E33" s="43" t="n"/>
      <c r="F33" s="52" t="n"/>
      <c r="G33" s="43" t="n"/>
      <c r="H33" s="51" t="n"/>
      <c r="I33" s="53">
        <f>IF(B33&lt;&gt;"Expected","",IF(C33="Parking Obstruction",IF(G33="Validation",Settings!$B$9,Settings!$B$8),IF(C33="Drinking",IF(G33="Validation",Settings!$B$11,Settings!$B$10),0)))</f>
        <v/>
      </c>
      <c r="J33" s="54">
        <f>IF(OR(B33&lt;&gt;"Expected",D33&lt;&gt;"Violation",H33=""),"",H33+I33+Settings!$B$5)</f>
        <v/>
      </c>
      <c r="K33" s="43" t="n"/>
      <c r="L33" s="51" t="n"/>
      <c r="M33" s="43" t="n"/>
      <c r="N33" s="54">
        <f>IF(AND(B33="Expected",D33="Violation",K33&lt;&gt;"",ISNUMBER(L33),ISNUMBER(H33)),L33-H33-I33,"")</f>
        <v/>
      </c>
      <c r="O33" s="43" t="n"/>
      <c r="P33" s="47" t="n"/>
      <c r="Q33" s="55">
        <f>IF(A33="","",IF(B33="Expected",IF(D33="Violation",IF(H33="","Needs start",IF(AND(K33&lt;&gt;"",OR(M33&lt;&gt;"Monitoring",Settings!$B$7="Yes"),ISNUMBER(L33),L33&lt;=J33),"TP","FN")),IF(AND(K33&lt;&gt;"",OR(M33&lt;&gt;"Monitoring",Settings!$B$7="Yes")),"FP","TN")),IF(P33="","Needs tag",IF(OR(P33="False alarm",P33="Unscripted – false alarm"),"FP",IF(P33="Duplicate","Duplicate",IF(P33="Late (real act)","Late","Excluded"))))))</f>
        <v/>
      </c>
      <c r="R33" s="47" t="n"/>
      <c r="S33" s="43" t="n"/>
      <c r="T33" s="43" t="n"/>
      <c r="U33" s="43" t="n"/>
      <c r="V33" s="47" t="n"/>
      <c r="W33" s="47" t="n"/>
      <c r="X33" s="52" t="n"/>
      <c r="Y33" s="43" t="n"/>
      <c r="Z33" s="55">
        <f>IF(OR(Y33="",Q33=""),"",IF(Y33=Q33,"OK","MISMATCH"))</f>
        <v/>
      </c>
      <c r="AA33" s="43" t="n"/>
    </row>
    <row r="34" ht="15" customHeight="1" s="35">
      <c r="A34" s="43" t="n"/>
      <c r="B34" s="47" t="n"/>
      <c r="C34" s="47" t="n"/>
      <c r="D34" s="47" t="n"/>
      <c r="E34" s="43" t="n"/>
      <c r="F34" s="52" t="n"/>
      <c r="G34" s="43" t="n"/>
      <c r="H34" s="51" t="n"/>
      <c r="I34" s="53">
        <f>IF(B34&lt;&gt;"Expected","",IF(C34="Parking Obstruction",IF(G34="Validation",Settings!$B$9,Settings!$B$8),IF(C34="Drinking",IF(G34="Validation",Settings!$B$11,Settings!$B$10),0)))</f>
        <v/>
      </c>
      <c r="J34" s="54">
        <f>IF(OR(B34&lt;&gt;"Expected",D34&lt;&gt;"Violation",H34=""),"",H34+I34+Settings!$B$5)</f>
        <v/>
      </c>
      <c r="K34" s="43" t="n"/>
      <c r="L34" s="51" t="n"/>
      <c r="M34" s="43" t="n"/>
      <c r="N34" s="54">
        <f>IF(AND(B34="Expected",D34="Violation",K34&lt;&gt;"",ISNUMBER(L34),ISNUMBER(H34)),L34-H34-I34,"")</f>
        <v/>
      </c>
      <c r="O34" s="43" t="n"/>
      <c r="P34" s="47" t="n"/>
      <c r="Q34" s="55">
        <f>IF(A34="","",IF(B34="Expected",IF(D34="Violation",IF(H34="","Needs start",IF(AND(K34&lt;&gt;"",OR(M34&lt;&gt;"Monitoring",Settings!$B$7="Yes"),ISNUMBER(L34),L34&lt;=J34),"TP","FN")),IF(AND(K34&lt;&gt;"",OR(M34&lt;&gt;"Monitoring",Settings!$B$7="Yes")),"FP","TN")),IF(P34="","Needs tag",IF(OR(P34="False alarm",P34="Unscripted – false alarm"),"FP",IF(P34="Duplicate","Duplicate",IF(P34="Late (real act)","Late","Excluded"))))))</f>
        <v/>
      </c>
      <c r="R34" s="47" t="n"/>
      <c r="S34" s="43" t="n"/>
      <c r="T34" s="43" t="n"/>
      <c r="U34" s="43" t="n"/>
      <c r="V34" s="47" t="n"/>
      <c r="W34" s="47" t="n"/>
      <c r="X34" s="52" t="n"/>
      <c r="Y34" s="43" t="n"/>
      <c r="Z34" s="55">
        <f>IF(OR(Y34="",Q34=""),"",IF(Y34=Q34,"OK","MISMATCH"))</f>
        <v/>
      </c>
      <c r="AA34" s="43" t="n"/>
    </row>
    <row r="35" ht="15" customHeight="1" s="35">
      <c r="A35" s="43" t="n"/>
      <c r="B35" s="47" t="n"/>
      <c r="C35" s="47" t="n"/>
      <c r="D35" s="47" t="n"/>
      <c r="E35" s="43" t="n"/>
      <c r="F35" s="52" t="n"/>
      <c r="G35" s="43" t="n"/>
      <c r="H35" s="51" t="n"/>
      <c r="I35" s="53">
        <f>IF(B35&lt;&gt;"Expected","",IF(C35="Parking Obstruction",IF(G35="Validation",Settings!$B$9,Settings!$B$8),IF(C35="Drinking",IF(G35="Validation",Settings!$B$11,Settings!$B$10),0)))</f>
        <v/>
      </c>
      <c r="J35" s="54">
        <f>IF(OR(B35&lt;&gt;"Expected",D35&lt;&gt;"Violation",H35=""),"",H35+I35+Settings!$B$5)</f>
        <v/>
      </c>
      <c r="K35" s="43" t="n"/>
      <c r="L35" s="51" t="n"/>
      <c r="M35" s="43" t="n"/>
      <c r="N35" s="54">
        <f>IF(AND(B35="Expected",D35="Violation",K35&lt;&gt;"",ISNUMBER(L35),ISNUMBER(H35)),L35-H35-I35,"")</f>
        <v/>
      </c>
      <c r="O35" s="43" t="n"/>
      <c r="P35" s="47" t="n"/>
      <c r="Q35" s="55">
        <f>IF(A35="","",IF(B35="Expected",IF(D35="Violation",IF(H35="","Needs start",IF(AND(K35&lt;&gt;"",OR(M35&lt;&gt;"Monitoring",Settings!$B$7="Yes"),ISNUMBER(L35),L35&lt;=J35),"TP","FN")),IF(AND(K35&lt;&gt;"",OR(M35&lt;&gt;"Monitoring",Settings!$B$7="Yes")),"FP","TN")),IF(P35="","Needs tag",IF(OR(P35="False alarm",P35="Unscripted – false alarm"),"FP",IF(P35="Duplicate","Duplicate",IF(P35="Late (real act)","Late","Excluded"))))))</f>
        <v/>
      </c>
      <c r="R35" s="47" t="n"/>
      <c r="S35" s="43" t="n"/>
      <c r="T35" s="43" t="n"/>
      <c r="U35" s="43" t="n"/>
      <c r="V35" s="47" t="n"/>
      <c r="W35" s="47" t="n"/>
      <c r="X35" s="52" t="n"/>
      <c r="Y35" s="43" t="n"/>
      <c r="Z35" s="55">
        <f>IF(OR(Y35="",Q35=""),"",IF(Y35=Q35,"OK","MISMATCH"))</f>
        <v/>
      </c>
      <c r="AA35" s="43" t="n"/>
    </row>
    <row r="36" ht="15" customHeight="1" s="35">
      <c r="A36" s="43" t="n"/>
      <c r="B36" s="47" t="n"/>
      <c r="C36" s="47" t="n"/>
      <c r="D36" s="47" t="n"/>
      <c r="E36" s="43" t="n"/>
      <c r="F36" s="52" t="n"/>
      <c r="G36" s="43" t="n"/>
      <c r="H36" s="51" t="n"/>
      <c r="I36" s="53">
        <f>IF(B36&lt;&gt;"Expected","",IF(C36="Parking Obstruction",IF(G36="Validation",Settings!$B$9,Settings!$B$8),IF(C36="Drinking",IF(G36="Validation",Settings!$B$11,Settings!$B$10),0)))</f>
        <v/>
      </c>
      <c r="J36" s="54">
        <f>IF(OR(B36&lt;&gt;"Expected",D36&lt;&gt;"Violation",H36=""),"",H36+I36+Settings!$B$5)</f>
        <v/>
      </c>
      <c r="K36" s="43" t="n"/>
      <c r="L36" s="51" t="n"/>
      <c r="M36" s="43" t="n"/>
      <c r="N36" s="54">
        <f>IF(AND(B36="Expected",D36="Violation",K36&lt;&gt;"",ISNUMBER(L36),ISNUMBER(H36)),L36-H36-I36,"")</f>
        <v/>
      </c>
      <c r="O36" s="43" t="n"/>
      <c r="P36" s="47" t="n"/>
      <c r="Q36" s="55">
        <f>IF(A36="","",IF(B36="Expected",IF(D36="Violation",IF(H36="","Needs start",IF(AND(K36&lt;&gt;"",OR(M36&lt;&gt;"Monitoring",Settings!$B$7="Yes"),ISNUMBER(L36),L36&lt;=J36),"TP","FN")),IF(AND(K36&lt;&gt;"",OR(M36&lt;&gt;"Monitoring",Settings!$B$7="Yes")),"FP","TN")),IF(P36="","Needs tag",IF(OR(P36="False alarm",P36="Unscripted – false alarm"),"FP",IF(P36="Duplicate","Duplicate",IF(P36="Late (real act)","Late","Excluded"))))))</f>
        <v/>
      </c>
      <c r="R36" s="47" t="n"/>
      <c r="S36" s="43" t="n"/>
      <c r="T36" s="43" t="n"/>
      <c r="U36" s="43" t="n"/>
      <c r="V36" s="47" t="n"/>
      <c r="W36" s="47" t="n"/>
      <c r="X36" s="52" t="n"/>
      <c r="Y36" s="43" t="n"/>
      <c r="Z36" s="55">
        <f>IF(OR(Y36="",Q36=""),"",IF(Y36=Q36,"OK","MISMATCH"))</f>
        <v/>
      </c>
      <c r="AA36" s="43" t="n"/>
    </row>
    <row r="37" ht="15" customHeight="1" s="35">
      <c r="A37" s="43" t="n"/>
      <c r="B37" s="47" t="n"/>
      <c r="C37" s="47" t="n"/>
      <c r="D37" s="47" t="n"/>
      <c r="E37" s="43" t="n"/>
      <c r="F37" s="52" t="n"/>
      <c r="G37" s="43" t="n"/>
      <c r="H37" s="51" t="n"/>
      <c r="I37" s="53">
        <f>IF(B37&lt;&gt;"Expected","",IF(C37="Parking Obstruction",IF(G37="Validation",Settings!$B$9,Settings!$B$8),IF(C37="Drinking",IF(G37="Validation",Settings!$B$11,Settings!$B$10),0)))</f>
        <v/>
      </c>
      <c r="J37" s="54">
        <f>IF(OR(B37&lt;&gt;"Expected",D37&lt;&gt;"Violation",H37=""),"",H37+I37+Settings!$B$5)</f>
        <v/>
      </c>
      <c r="K37" s="43" t="n"/>
      <c r="L37" s="51" t="n"/>
      <c r="M37" s="43" t="n"/>
      <c r="N37" s="54">
        <f>IF(AND(B37="Expected",D37="Violation",K37&lt;&gt;"",ISNUMBER(L37),ISNUMBER(H37)),L37-H37-I37,"")</f>
        <v/>
      </c>
      <c r="O37" s="43" t="n"/>
      <c r="P37" s="47" t="n"/>
      <c r="Q37" s="55">
        <f>IF(A37="","",IF(B37="Expected",IF(D37="Violation",IF(H37="","Needs start",IF(AND(K37&lt;&gt;"",OR(M37&lt;&gt;"Monitoring",Settings!$B$7="Yes"),ISNUMBER(L37),L37&lt;=J37),"TP","FN")),IF(AND(K37&lt;&gt;"",OR(M37&lt;&gt;"Monitoring",Settings!$B$7="Yes")),"FP","TN")),IF(P37="","Needs tag",IF(OR(P37="False alarm",P37="Unscripted – false alarm"),"FP",IF(P37="Duplicate","Duplicate",IF(P37="Late (real act)","Late","Excluded"))))))</f>
        <v/>
      </c>
      <c r="R37" s="47" t="n"/>
      <c r="S37" s="43" t="n"/>
      <c r="T37" s="43" t="n"/>
      <c r="U37" s="43" t="n"/>
      <c r="V37" s="47" t="n"/>
      <c r="W37" s="47" t="n"/>
      <c r="X37" s="52" t="n"/>
      <c r="Y37" s="43" t="n"/>
      <c r="Z37" s="55">
        <f>IF(OR(Y37="",Q37=""),"",IF(Y37=Q37,"OK","MISMATCH"))</f>
        <v/>
      </c>
      <c r="AA37" s="43" t="n"/>
    </row>
    <row r="38" ht="15" customHeight="1" s="35">
      <c r="A38" s="43" t="n"/>
      <c r="B38" s="47" t="n"/>
      <c r="C38" s="47" t="n"/>
      <c r="D38" s="47" t="n"/>
      <c r="E38" s="43" t="n"/>
      <c r="F38" s="52" t="n"/>
      <c r="G38" s="43" t="n"/>
      <c r="H38" s="51" t="n"/>
      <c r="I38" s="53">
        <f>IF(B38&lt;&gt;"Expected","",IF(C38="Parking Obstruction",IF(G38="Validation",Settings!$B$9,Settings!$B$8),IF(C38="Drinking",IF(G38="Validation",Settings!$B$11,Settings!$B$10),0)))</f>
        <v/>
      </c>
      <c r="J38" s="54">
        <f>IF(OR(B38&lt;&gt;"Expected",D38&lt;&gt;"Violation",H38=""),"",H38+I38+Settings!$B$5)</f>
        <v/>
      </c>
      <c r="K38" s="43" t="n"/>
      <c r="L38" s="51" t="n"/>
      <c r="M38" s="43" t="n"/>
      <c r="N38" s="54">
        <f>IF(AND(B38="Expected",D38="Violation",K38&lt;&gt;"",ISNUMBER(L38),ISNUMBER(H38)),L38-H38-I38,"")</f>
        <v/>
      </c>
      <c r="O38" s="43" t="n"/>
      <c r="P38" s="47" t="n"/>
      <c r="Q38" s="55">
        <f>IF(A38="","",IF(B38="Expected",IF(D38="Violation",IF(H38="","Needs start",IF(AND(K38&lt;&gt;"",OR(M38&lt;&gt;"Monitoring",Settings!$B$7="Yes"),ISNUMBER(L38),L38&lt;=J38),"TP","FN")),IF(AND(K38&lt;&gt;"",OR(M38&lt;&gt;"Monitoring",Settings!$B$7="Yes")),"FP","TN")),IF(P38="","Needs tag",IF(OR(P38="False alarm",P38="Unscripted – false alarm"),"FP",IF(P38="Duplicate","Duplicate",IF(P38="Late (real act)","Late","Excluded"))))))</f>
        <v/>
      </c>
      <c r="R38" s="47" t="n"/>
      <c r="S38" s="43" t="n"/>
      <c r="T38" s="43" t="n"/>
      <c r="U38" s="43" t="n"/>
      <c r="V38" s="47" t="n"/>
      <c r="W38" s="47" t="n"/>
      <c r="X38" s="52" t="n"/>
      <c r="Y38" s="43" t="n"/>
      <c r="Z38" s="55">
        <f>IF(OR(Y38="",Q38=""),"",IF(Y38=Q38,"OK","MISMATCH"))</f>
        <v/>
      </c>
      <c r="AA38" s="43" t="n"/>
    </row>
    <row r="39" ht="15" customHeight="1" s="35">
      <c r="A39" s="43" t="n"/>
      <c r="B39" s="47" t="n"/>
      <c r="C39" s="47" t="n"/>
      <c r="D39" s="47" t="n"/>
      <c r="E39" s="43" t="n"/>
      <c r="F39" s="52" t="n"/>
      <c r="G39" s="43" t="n"/>
      <c r="H39" s="51" t="n"/>
      <c r="I39" s="53">
        <f>IF(B39&lt;&gt;"Expected","",IF(C39="Parking Obstruction",IF(G39="Validation",Settings!$B$9,Settings!$B$8),IF(C39="Drinking",IF(G39="Validation",Settings!$B$11,Settings!$B$10),0)))</f>
        <v/>
      </c>
      <c r="J39" s="54">
        <f>IF(OR(B39&lt;&gt;"Expected",D39&lt;&gt;"Violation",H39=""),"",H39+I39+Settings!$B$5)</f>
        <v/>
      </c>
      <c r="K39" s="43" t="n"/>
      <c r="L39" s="51" t="n"/>
      <c r="M39" s="43" t="n"/>
      <c r="N39" s="54">
        <f>IF(AND(B39="Expected",D39="Violation",K39&lt;&gt;"",ISNUMBER(L39),ISNUMBER(H39)),L39-H39-I39,"")</f>
        <v/>
      </c>
      <c r="O39" s="43" t="n"/>
      <c r="P39" s="47" t="n"/>
      <c r="Q39" s="55">
        <f>IF(A39="","",IF(B39="Expected",IF(D39="Violation",IF(H39="","Needs start",IF(AND(K39&lt;&gt;"",OR(M39&lt;&gt;"Monitoring",Settings!$B$7="Yes"),ISNUMBER(L39),L39&lt;=J39),"TP","FN")),IF(AND(K39&lt;&gt;"",OR(M39&lt;&gt;"Monitoring",Settings!$B$7="Yes")),"FP","TN")),IF(P39="","Needs tag",IF(OR(P39="False alarm",P39="Unscripted – false alarm"),"FP",IF(P39="Duplicate","Duplicate",IF(P39="Late (real act)","Late","Excluded"))))))</f>
        <v/>
      </c>
      <c r="R39" s="47" t="n"/>
      <c r="S39" s="43" t="n"/>
      <c r="T39" s="43" t="n"/>
      <c r="U39" s="43" t="n"/>
      <c r="V39" s="47" t="n"/>
      <c r="W39" s="47" t="n"/>
      <c r="X39" s="52" t="n"/>
      <c r="Y39" s="43" t="n"/>
      <c r="Z39" s="55">
        <f>IF(OR(Y39="",Q39=""),"",IF(Y39=Q39,"OK","MISMATCH"))</f>
        <v/>
      </c>
      <c r="AA39" s="43" t="n"/>
    </row>
    <row r="40" ht="15" customHeight="1" s="35">
      <c r="A40" s="43" t="n"/>
      <c r="B40" s="47" t="n"/>
      <c r="C40" s="47" t="n"/>
      <c r="D40" s="47" t="n"/>
      <c r="E40" s="43" t="n"/>
      <c r="F40" s="52" t="n"/>
      <c r="G40" s="43" t="n"/>
      <c r="H40" s="51" t="n"/>
      <c r="I40" s="53">
        <f>IF(B40&lt;&gt;"Expected","",IF(C40="Parking Obstruction",IF(G40="Validation",Settings!$B$9,Settings!$B$8),IF(C40="Drinking",IF(G40="Validation",Settings!$B$11,Settings!$B$10),0)))</f>
        <v/>
      </c>
      <c r="J40" s="54">
        <f>IF(OR(B40&lt;&gt;"Expected",D40&lt;&gt;"Violation",H40=""),"",H40+I40+Settings!$B$5)</f>
        <v/>
      </c>
      <c r="K40" s="43" t="n"/>
      <c r="L40" s="51" t="n"/>
      <c r="M40" s="43" t="n"/>
      <c r="N40" s="54">
        <f>IF(AND(B40="Expected",D40="Violation",K40&lt;&gt;"",ISNUMBER(L40),ISNUMBER(H40)),L40-H40-I40,"")</f>
        <v/>
      </c>
      <c r="O40" s="43" t="n"/>
      <c r="P40" s="47" t="n"/>
      <c r="Q40" s="55">
        <f>IF(A40="","",IF(B40="Expected",IF(D40="Violation",IF(H40="","Needs start",IF(AND(K40&lt;&gt;"",OR(M40&lt;&gt;"Monitoring",Settings!$B$7="Yes"),ISNUMBER(L40),L40&lt;=J40),"TP","FN")),IF(AND(K40&lt;&gt;"",OR(M40&lt;&gt;"Monitoring",Settings!$B$7="Yes")),"FP","TN")),IF(P40="","Needs tag",IF(OR(P40="False alarm",P40="Unscripted – false alarm"),"FP",IF(P40="Duplicate","Duplicate",IF(P40="Late (real act)","Late","Excluded"))))))</f>
        <v/>
      </c>
      <c r="R40" s="47" t="n"/>
      <c r="S40" s="43" t="n"/>
      <c r="T40" s="43" t="n"/>
      <c r="U40" s="43" t="n"/>
      <c r="V40" s="47" t="n"/>
      <c r="W40" s="47" t="n"/>
      <c r="X40" s="52" t="n"/>
      <c r="Y40" s="43" t="n"/>
      <c r="Z40" s="55">
        <f>IF(OR(Y40="",Q40=""),"",IF(Y40=Q40,"OK","MISMATCH"))</f>
        <v/>
      </c>
      <c r="AA40" s="43" t="n"/>
    </row>
    <row r="41" ht="15" customHeight="1" s="35">
      <c r="A41" s="43" t="n"/>
      <c r="B41" s="47" t="n"/>
      <c r="C41" s="47" t="n"/>
      <c r="D41" s="47" t="n"/>
      <c r="E41" s="43" t="n"/>
      <c r="F41" s="52" t="n"/>
      <c r="G41" s="43" t="n"/>
      <c r="H41" s="51" t="n"/>
      <c r="I41" s="53">
        <f>IF(B41&lt;&gt;"Expected","",IF(C41="Parking Obstruction",IF(G41="Validation",Settings!$B$9,Settings!$B$8),IF(C41="Drinking",IF(G41="Validation",Settings!$B$11,Settings!$B$10),0)))</f>
        <v/>
      </c>
      <c r="J41" s="54">
        <f>IF(OR(B41&lt;&gt;"Expected",D41&lt;&gt;"Violation",H41=""),"",H41+I41+Settings!$B$5)</f>
        <v/>
      </c>
      <c r="K41" s="43" t="n"/>
      <c r="L41" s="51" t="n"/>
      <c r="M41" s="43" t="n"/>
      <c r="N41" s="54">
        <f>IF(AND(B41="Expected",D41="Violation",K41&lt;&gt;"",ISNUMBER(L41),ISNUMBER(H41)),L41-H41-I41,"")</f>
        <v/>
      </c>
      <c r="O41" s="43" t="n"/>
      <c r="P41" s="47" t="n"/>
      <c r="Q41" s="55">
        <f>IF(A41="","",IF(B41="Expected",IF(D41="Violation",IF(H41="","Needs start",IF(AND(K41&lt;&gt;"",OR(M41&lt;&gt;"Monitoring",Settings!$B$7="Yes"),ISNUMBER(L41),L41&lt;=J41),"TP","FN")),IF(AND(K41&lt;&gt;"",OR(M41&lt;&gt;"Monitoring",Settings!$B$7="Yes")),"FP","TN")),IF(P41="","Needs tag",IF(OR(P41="False alarm",P41="Unscripted – false alarm"),"FP",IF(P41="Duplicate","Duplicate",IF(P41="Late (real act)","Late","Excluded"))))))</f>
        <v/>
      </c>
      <c r="R41" s="47" t="n"/>
      <c r="S41" s="43" t="n"/>
      <c r="T41" s="43" t="n"/>
      <c r="U41" s="43" t="n"/>
      <c r="V41" s="47" t="n"/>
      <c r="W41" s="47" t="n"/>
      <c r="X41" s="52" t="n"/>
      <c r="Y41" s="43" t="n"/>
      <c r="Z41" s="55">
        <f>IF(OR(Y41="",Q41=""),"",IF(Y41=Q41,"OK","MISMATCH"))</f>
        <v/>
      </c>
      <c r="AA41" s="43" t="n"/>
    </row>
    <row r="42" ht="15" customHeight="1" s="35">
      <c r="A42" s="43" t="n"/>
      <c r="B42" s="47" t="n"/>
      <c r="C42" s="47" t="n"/>
      <c r="D42" s="47" t="n"/>
      <c r="E42" s="43" t="n"/>
      <c r="F42" s="52" t="n"/>
      <c r="G42" s="43" t="n"/>
      <c r="H42" s="51" t="n"/>
      <c r="I42" s="53">
        <f>IF(B42&lt;&gt;"Expected","",IF(C42="Parking Obstruction",IF(G42="Validation",Settings!$B$9,Settings!$B$8),IF(C42="Drinking",IF(G42="Validation",Settings!$B$11,Settings!$B$10),0)))</f>
        <v/>
      </c>
      <c r="J42" s="54">
        <f>IF(OR(B42&lt;&gt;"Expected",D42&lt;&gt;"Violation",H42=""),"",H42+I42+Settings!$B$5)</f>
        <v/>
      </c>
      <c r="K42" s="43" t="n"/>
      <c r="L42" s="51" t="n"/>
      <c r="M42" s="43" t="n"/>
      <c r="N42" s="54">
        <f>IF(AND(B42="Expected",D42="Violation",K42&lt;&gt;"",ISNUMBER(L42),ISNUMBER(H42)),L42-H42-I42,"")</f>
        <v/>
      </c>
      <c r="O42" s="43" t="n"/>
      <c r="P42" s="47" t="n"/>
      <c r="Q42" s="55">
        <f>IF(A42="","",IF(B42="Expected",IF(D42="Violation",IF(H42="","Needs start",IF(AND(K42&lt;&gt;"",OR(M42&lt;&gt;"Monitoring",Settings!$B$7="Yes"),ISNUMBER(L42),L42&lt;=J42),"TP","FN")),IF(AND(K42&lt;&gt;"",OR(M42&lt;&gt;"Monitoring",Settings!$B$7="Yes")),"FP","TN")),IF(P42="","Needs tag",IF(OR(P42="False alarm",P42="Unscripted – false alarm"),"FP",IF(P42="Duplicate","Duplicate",IF(P42="Late (real act)","Late","Excluded"))))))</f>
        <v/>
      </c>
      <c r="R42" s="47" t="n"/>
      <c r="S42" s="43" t="n"/>
      <c r="T42" s="43" t="n"/>
      <c r="U42" s="43" t="n"/>
      <c r="V42" s="47" t="n"/>
      <c r="W42" s="47" t="n"/>
      <c r="X42" s="52" t="n"/>
      <c r="Y42" s="43" t="n"/>
      <c r="Z42" s="55">
        <f>IF(OR(Y42="",Q42=""),"",IF(Y42=Q42,"OK","MISMATCH"))</f>
        <v/>
      </c>
      <c r="AA42" s="43" t="n"/>
    </row>
    <row r="43" ht="15" customHeight="1" s="35">
      <c r="A43" s="43" t="n"/>
      <c r="B43" s="47" t="n"/>
      <c r="C43" s="47" t="n"/>
      <c r="D43" s="47" t="n"/>
      <c r="E43" s="43" t="n"/>
      <c r="F43" s="52" t="n"/>
      <c r="G43" s="43" t="n"/>
      <c r="H43" s="51" t="n"/>
      <c r="I43" s="53">
        <f>IF(B43&lt;&gt;"Expected","",IF(C43="Parking Obstruction",IF(G43="Validation",Settings!$B$9,Settings!$B$8),IF(C43="Drinking",IF(G43="Validation",Settings!$B$11,Settings!$B$10),0)))</f>
        <v/>
      </c>
      <c r="J43" s="54">
        <f>IF(OR(B43&lt;&gt;"Expected",D43&lt;&gt;"Violation",H43=""),"",H43+I43+Settings!$B$5)</f>
        <v/>
      </c>
      <c r="K43" s="43" t="n"/>
      <c r="L43" s="51" t="n"/>
      <c r="M43" s="43" t="n"/>
      <c r="N43" s="54">
        <f>IF(AND(B43="Expected",D43="Violation",K43&lt;&gt;"",ISNUMBER(L43),ISNUMBER(H43)),L43-H43-I43,"")</f>
        <v/>
      </c>
      <c r="O43" s="43" t="n"/>
      <c r="P43" s="47" t="n"/>
      <c r="Q43" s="55">
        <f>IF(A43="","",IF(B43="Expected",IF(D43="Violation",IF(H43="","Needs start",IF(AND(K43&lt;&gt;"",OR(M43&lt;&gt;"Monitoring",Settings!$B$7="Yes"),ISNUMBER(L43),L43&lt;=J43),"TP","FN")),IF(AND(K43&lt;&gt;"",OR(M43&lt;&gt;"Monitoring",Settings!$B$7="Yes")),"FP","TN")),IF(P43="","Needs tag",IF(OR(P43="False alarm",P43="Unscripted – false alarm"),"FP",IF(P43="Duplicate","Duplicate",IF(P43="Late (real act)","Late","Excluded"))))))</f>
        <v/>
      </c>
      <c r="R43" s="47" t="n"/>
      <c r="S43" s="43" t="n"/>
      <c r="T43" s="43" t="n"/>
      <c r="U43" s="43" t="n"/>
      <c r="V43" s="47" t="n"/>
      <c r="W43" s="47" t="n"/>
      <c r="X43" s="52" t="n"/>
      <c r="Y43" s="43" t="n"/>
      <c r="Z43" s="55">
        <f>IF(OR(Y43="",Q43=""),"",IF(Y43=Q43,"OK","MISMATCH"))</f>
        <v/>
      </c>
      <c r="AA43" s="43" t="n"/>
    </row>
    <row r="44" ht="15" customHeight="1" s="35">
      <c r="A44" s="43" t="n"/>
      <c r="B44" s="47" t="n"/>
      <c r="C44" s="47" t="n"/>
      <c r="D44" s="47" t="n"/>
      <c r="E44" s="43" t="n"/>
      <c r="F44" s="52" t="n"/>
      <c r="G44" s="43" t="n"/>
      <c r="H44" s="51" t="n"/>
      <c r="I44" s="53">
        <f>IF(B44&lt;&gt;"Expected","",IF(C44="Parking Obstruction",IF(G44="Validation",Settings!$B$9,Settings!$B$8),IF(C44="Drinking",IF(G44="Validation",Settings!$B$11,Settings!$B$10),0)))</f>
        <v/>
      </c>
      <c r="J44" s="54">
        <f>IF(OR(B44&lt;&gt;"Expected",D44&lt;&gt;"Violation",H44=""),"",H44+I44+Settings!$B$5)</f>
        <v/>
      </c>
      <c r="K44" s="43" t="n"/>
      <c r="L44" s="51" t="n"/>
      <c r="M44" s="43" t="n"/>
      <c r="N44" s="54">
        <f>IF(AND(B44="Expected",D44="Violation",K44&lt;&gt;"",ISNUMBER(L44),ISNUMBER(H44)),L44-H44-I44,"")</f>
        <v/>
      </c>
      <c r="O44" s="43" t="n"/>
      <c r="P44" s="47" t="n"/>
      <c r="Q44" s="55">
        <f>IF(A44="","",IF(B44="Expected",IF(D44="Violation",IF(H44="","Needs start",IF(AND(K44&lt;&gt;"",OR(M44&lt;&gt;"Monitoring",Settings!$B$7="Yes"),ISNUMBER(L44),L44&lt;=J44),"TP","FN")),IF(AND(K44&lt;&gt;"",OR(M44&lt;&gt;"Monitoring",Settings!$B$7="Yes")),"FP","TN")),IF(P44="","Needs tag",IF(OR(P44="False alarm",P44="Unscripted – false alarm"),"FP",IF(P44="Duplicate","Duplicate",IF(P44="Late (real act)","Late","Excluded"))))))</f>
        <v/>
      </c>
      <c r="R44" s="47" t="n"/>
      <c r="S44" s="43" t="n"/>
      <c r="T44" s="43" t="n"/>
      <c r="U44" s="43" t="n"/>
      <c r="V44" s="47" t="n"/>
      <c r="W44" s="47" t="n"/>
      <c r="X44" s="52" t="n"/>
      <c r="Y44" s="43" t="n"/>
      <c r="Z44" s="55">
        <f>IF(OR(Y44="",Q44=""),"",IF(Y44=Q44,"OK","MISMATCH"))</f>
        <v/>
      </c>
      <c r="AA44" s="43" t="n"/>
    </row>
    <row r="45" ht="15" customHeight="1" s="35">
      <c r="A45" s="43" t="n"/>
      <c r="B45" s="47" t="n"/>
      <c r="C45" s="47" t="n"/>
      <c r="D45" s="47" t="n"/>
      <c r="E45" s="43" t="n"/>
      <c r="F45" s="52" t="n"/>
      <c r="G45" s="43" t="n"/>
      <c r="H45" s="51" t="n"/>
      <c r="I45" s="53">
        <f>IF(B45&lt;&gt;"Expected","",IF(C45="Parking Obstruction",IF(G45="Validation",Settings!$B$9,Settings!$B$8),IF(C45="Drinking",IF(G45="Validation",Settings!$B$11,Settings!$B$10),0)))</f>
        <v/>
      </c>
      <c r="J45" s="54">
        <f>IF(OR(B45&lt;&gt;"Expected",D45&lt;&gt;"Violation",H45=""),"",H45+I45+Settings!$B$5)</f>
        <v/>
      </c>
      <c r="K45" s="43" t="n"/>
      <c r="L45" s="51" t="n"/>
      <c r="M45" s="43" t="n"/>
      <c r="N45" s="54">
        <f>IF(AND(B45="Expected",D45="Violation",K45&lt;&gt;"",ISNUMBER(L45),ISNUMBER(H45)),L45-H45-I45,"")</f>
        <v/>
      </c>
      <c r="O45" s="43" t="n"/>
      <c r="P45" s="47" t="n"/>
      <c r="Q45" s="55">
        <f>IF(A45="","",IF(B45="Expected",IF(D45="Violation",IF(H45="","Needs start",IF(AND(K45&lt;&gt;"",OR(M45&lt;&gt;"Monitoring",Settings!$B$7="Yes"),ISNUMBER(L45),L45&lt;=J45),"TP","FN")),IF(AND(K45&lt;&gt;"",OR(M45&lt;&gt;"Monitoring",Settings!$B$7="Yes")),"FP","TN")),IF(P45="","Needs tag",IF(OR(P45="False alarm",P45="Unscripted – false alarm"),"FP",IF(P45="Duplicate","Duplicate",IF(P45="Late (real act)","Late","Excluded"))))))</f>
        <v/>
      </c>
      <c r="R45" s="47" t="n"/>
      <c r="S45" s="43" t="n"/>
      <c r="T45" s="43" t="n"/>
      <c r="U45" s="43" t="n"/>
      <c r="V45" s="47" t="n"/>
      <c r="W45" s="47" t="n"/>
      <c r="X45" s="52" t="n"/>
      <c r="Y45" s="43" t="n"/>
      <c r="Z45" s="55">
        <f>IF(OR(Y45="",Q45=""),"",IF(Y45=Q45,"OK","MISMATCH"))</f>
        <v/>
      </c>
      <c r="AA45" s="43" t="n"/>
    </row>
    <row r="46" ht="15" customHeight="1" s="35">
      <c r="A46" s="43" t="n"/>
      <c r="B46" s="47" t="n"/>
      <c r="C46" s="47" t="n"/>
      <c r="D46" s="47" t="n"/>
      <c r="E46" s="43" t="n"/>
      <c r="F46" s="52" t="n"/>
      <c r="G46" s="43" t="n"/>
      <c r="H46" s="51" t="n"/>
      <c r="I46" s="53">
        <f>IF(B46&lt;&gt;"Expected","",IF(C46="Parking Obstruction",IF(G46="Validation",Settings!$B$9,Settings!$B$8),IF(C46="Drinking",IF(G46="Validation",Settings!$B$11,Settings!$B$10),0)))</f>
        <v/>
      </c>
      <c r="J46" s="54">
        <f>IF(OR(B46&lt;&gt;"Expected",D46&lt;&gt;"Violation",H46=""),"",H46+I46+Settings!$B$5)</f>
        <v/>
      </c>
      <c r="K46" s="43" t="n"/>
      <c r="L46" s="51" t="n"/>
      <c r="M46" s="43" t="n"/>
      <c r="N46" s="54">
        <f>IF(AND(B46="Expected",D46="Violation",K46&lt;&gt;"",ISNUMBER(L46),ISNUMBER(H46)),L46-H46-I46,"")</f>
        <v/>
      </c>
      <c r="O46" s="43" t="n"/>
      <c r="P46" s="47" t="n"/>
      <c r="Q46" s="55">
        <f>IF(A46="","",IF(B46="Expected",IF(D46="Violation",IF(H46="","Needs start",IF(AND(K46&lt;&gt;"",OR(M46&lt;&gt;"Monitoring",Settings!$B$7="Yes"),ISNUMBER(L46),L46&lt;=J46),"TP","FN")),IF(AND(K46&lt;&gt;"",OR(M46&lt;&gt;"Monitoring",Settings!$B$7="Yes")),"FP","TN")),IF(P46="","Needs tag",IF(OR(P46="False alarm",P46="Unscripted – false alarm"),"FP",IF(P46="Duplicate","Duplicate",IF(P46="Late (real act)","Late","Excluded"))))))</f>
        <v/>
      </c>
      <c r="R46" s="47" t="n"/>
      <c r="S46" s="43" t="n"/>
      <c r="T46" s="43" t="n"/>
      <c r="U46" s="43" t="n"/>
      <c r="V46" s="47" t="n"/>
      <c r="W46" s="47" t="n"/>
      <c r="X46" s="52" t="n"/>
      <c r="Y46" s="43" t="n"/>
      <c r="Z46" s="55">
        <f>IF(OR(Y46="",Q46=""),"",IF(Y46=Q46,"OK","MISMATCH"))</f>
        <v/>
      </c>
      <c r="AA46" s="43" t="n"/>
    </row>
    <row r="47" ht="15" customHeight="1" s="35">
      <c r="A47" s="43" t="n"/>
      <c r="B47" s="47" t="n"/>
      <c r="C47" s="47" t="n"/>
      <c r="D47" s="47" t="n"/>
      <c r="E47" s="43" t="n"/>
      <c r="F47" s="52" t="n"/>
      <c r="G47" s="43" t="n"/>
      <c r="H47" s="51" t="n"/>
      <c r="I47" s="53">
        <f>IF(B47&lt;&gt;"Expected","",IF(C47="Parking Obstruction",IF(G47="Validation",Settings!$B$9,Settings!$B$8),IF(C47="Drinking",IF(G47="Validation",Settings!$B$11,Settings!$B$10),0)))</f>
        <v/>
      </c>
      <c r="J47" s="54">
        <f>IF(OR(B47&lt;&gt;"Expected",D47&lt;&gt;"Violation",H47=""),"",H47+I47+Settings!$B$5)</f>
        <v/>
      </c>
      <c r="K47" s="43" t="n"/>
      <c r="L47" s="51" t="n"/>
      <c r="M47" s="43" t="n"/>
      <c r="N47" s="54">
        <f>IF(AND(B47="Expected",D47="Violation",K47&lt;&gt;"",ISNUMBER(L47),ISNUMBER(H47)),L47-H47-I47,"")</f>
        <v/>
      </c>
      <c r="O47" s="43" t="n"/>
      <c r="P47" s="47" t="n"/>
      <c r="Q47" s="55">
        <f>IF(A47="","",IF(B47="Expected",IF(D47="Violation",IF(H47="","Needs start",IF(AND(K47&lt;&gt;"",OR(M47&lt;&gt;"Monitoring",Settings!$B$7="Yes"),ISNUMBER(L47),L47&lt;=J47),"TP","FN")),IF(AND(K47&lt;&gt;"",OR(M47&lt;&gt;"Monitoring",Settings!$B$7="Yes")),"FP","TN")),IF(P47="","Needs tag",IF(OR(P47="False alarm",P47="Unscripted – false alarm"),"FP",IF(P47="Duplicate","Duplicate",IF(P47="Late (real act)","Late","Excluded"))))))</f>
        <v/>
      </c>
      <c r="R47" s="47" t="n"/>
      <c r="S47" s="43" t="n"/>
      <c r="T47" s="43" t="n"/>
      <c r="U47" s="43" t="n"/>
      <c r="V47" s="47" t="n"/>
      <c r="W47" s="47" t="n"/>
      <c r="X47" s="52" t="n"/>
      <c r="Y47" s="43" t="n"/>
      <c r="Z47" s="55">
        <f>IF(OR(Y47="",Q47=""),"",IF(Y47=Q47,"OK","MISMATCH"))</f>
        <v/>
      </c>
      <c r="AA47" s="43" t="n"/>
    </row>
    <row r="48" ht="15" customHeight="1" s="35">
      <c r="A48" s="43" t="n"/>
      <c r="B48" s="47" t="n"/>
      <c r="C48" s="47" t="n"/>
      <c r="D48" s="47" t="n"/>
      <c r="E48" s="43" t="n"/>
      <c r="F48" s="52" t="n"/>
      <c r="G48" s="43" t="n"/>
      <c r="H48" s="51" t="n"/>
      <c r="I48" s="53">
        <f>IF(B48&lt;&gt;"Expected","",IF(C48="Parking Obstruction",IF(G48="Validation",Settings!$B$9,Settings!$B$8),IF(C48="Drinking",IF(G48="Validation",Settings!$B$11,Settings!$B$10),0)))</f>
        <v/>
      </c>
      <c r="J48" s="54">
        <f>IF(OR(B48&lt;&gt;"Expected",D48&lt;&gt;"Violation",H48=""),"",H48+I48+Settings!$B$5)</f>
        <v/>
      </c>
      <c r="K48" s="43" t="n"/>
      <c r="L48" s="51" t="n"/>
      <c r="M48" s="43" t="n"/>
      <c r="N48" s="54">
        <f>IF(AND(B48="Expected",D48="Violation",K48&lt;&gt;"",ISNUMBER(L48),ISNUMBER(H48)),L48-H48-I48,"")</f>
        <v/>
      </c>
      <c r="O48" s="43" t="n"/>
      <c r="P48" s="47" t="n"/>
      <c r="Q48" s="55">
        <f>IF(A48="","",IF(B48="Expected",IF(D48="Violation",IF(H48="","Needs start",IF(AND(K48&lt;&gt;"",OR(M48&lt;&gt;"Monitoring",Settings!$B$7="Yes"),ISNUMBER(L48),L48&lt;=J48),"TP","FN")),IF(AND(K48&lt;&gt;"",OR(M48&lt;&gt;"Monitoring",Settings!$B$7="Yes")),"FP","TN")),IF(P48="","Needs tag",IF(OR(P48="False alarm",P48="Unscripted – false alarm"),"FP",IF(P48="Duplicate","Duplicate",IF(P48="Late (real act)","Late","Excluded"))))))</f>
        <v/>
      </c>
      <c r="R48" s="47" t="n"/>
      <c r="S48" s="43" t="n"/>
      <c r="T48" s="43" t="n"/>
      <c r="U48" s="43" t="n"/>
      <c r="V48" s="47" t="n"/>
      <c r="W48" s="47" t="n"/>
      <c r="X48" s="52" t="n"/>
      <c r="Y48" s="43" t="n"/>
      <c r="Z48" s="55">
        <f>IF(OR(Y48="",Q48=""),"",IF(Y48=Q48,"OK","MISMATCH"))</f>
        <v/>
      </c>
      <c r="AA48" s="43" t="n"/>
    </row>
    <row r="49" ht="15" customHeight="1" s="35">
      <c r="A49" s="43" t="n"/>
      <c r="B49" s="47" t="n"/>
      <c r="C49" s="47" t="n"/>
      <c r="D49" s="47" t="n"/>
      <c r="E49" s="43" t="n"/>
      <c r="F49" s="52" t="n"/>
      <c r="G49" s="43" t="n"/>
      <c r="H49" s="51" t="n"/>
      <c r="I49" s="53">
        <f>IF(B49&lt;&gt;"Expected","",IF(C49="Parking Obstruction",IF(G49="Validation",Settings!$B$9,Settings!$B$8),IF(C49="Drinking",IF(G49="Validation",Settings!$B$11,Settings!$B$10),0)))</f>
        <v/>
      </c>
      <c r="J49" s="54">
        <f>IF(OR(B49&lt;&gt;"Expected",D49&lt;&gt;"Violation",H49=""),"",H49+I49+Settings!$B$5)</f>
        <v/>
      </c>
      <c r="K49" s="43" t="n"/>
      <c r="L49" s="51" t="n"/>
      <c r="M49" s="43" t="n"/>
      <c r="N49" s="54">
        <f>IF(AND(B49="Expected",D49="Violation",K49&lt;&gt;"",ISNUMBER(L49),ISNUMBER(H49)),L49-H49-I49,"")</f>
        <v/>
      </c>
      <c r="O49" s="43" t="n"/>
      <c r="P49" s="47" t="n"/>
      <c r="Q49" s="55">
        <f>IF(A49="","",IF(B49="Expected",IF(D49="Violation",IF(H49="","Needs start",IF(AND(K49&lt;&gt;"",OR(M49&lt;&gt;"Monitoring",Settings!$B$7="Yes"),ISNUMBER(L49),L49&lt;=J49),"TP","FN")),IF(AND(K49&lt;&gt;"",OR(M49&lt;&gt;"Monitoring",Settings!$B$7="Yes")),"FP","TN")),IF(P49="","Needs tag",IF(OR(P49="False alarm",P49="Unscripted – false alarm"),"FP",IF(P49="Duplicate","Duplicate",IF(P49="Late (real act)","Late","Excluded"))))))</f>
        <v/>
      </c>
      <c r="R49" s="47" t="n"/>
      <c r="S49" s="43" t="n"/>
      <c r="T49" s="43" t="n"/>
      <c r="U49" s="43" t="n"/>
      <c r="V49" s="47" t="n"/>
      <c r="W49" s="47" t="n"/>
      <c r="X49" s="52" t="n"/>
      <c r="Y49" s="43" t="n"/>
      <c r="Z49" s="55">
        <f>IF(OR(Y49="",Q49=""),"",IF(Y49=Q49,"OK","MISMATCH"))</f>
        <v/>
      </c>
      <c r="AA49" s="43" t="n"/>
    </row>
    <row r="50" ht="15" customHeight="1" s="35">
      <c r="A50" s="43" t="n"/>
      <c r="B50" s="47" t="n"/>
      <c r="C50" s="47" t="n"/>
      <c r="D50" s="47" t="n"/>
      <c r="E50" s="43" t="n"/>
      <c r="F50" s="52" t="n"/>
      <c r="G50" s="43" t="n"/>
      <c r="H50" s="51" t="n"/>
      <c r="I50" s="53">
        <f>IF(B50&lt;&gt;"Expected","",IF(C50="Parking Obstruction",IF(G50="Validation",Settings!$B$9,Settings!$B$8),IF(C50="Drinking",IF(G50="Validation",Settings!$B$11,Settings!$B$10),0)))</f>
        <v/>
      </c>
      <c r="J50" s="54">
        <f>IF(OR(B50&lt;&gt;"Expected",D50&lt;&gt;"Violation",H50=""),"",H50+I50+Settings!$B$5)</f>
        <v/>
      </c>
      <c r="K50" s="43" t="n"/>
      <c r="L50" s="51" t="n"/>
      <c r="M50" s="43" t="n"/>
      <c r="N50" s="54">
        <f>IF(AND(B50="Expected",D50="Violation",K50&lt;&gt;"",ISNUMBER(L50),ISNUMBER(H50)),L50-H50-I50,"")</f>
        <v/>
      </c>
      <c r="O50" s="43" t="n"/>
      <c r="P50" s="47" t="n"/>
      <c r="Q50" s="55">
        <f>IF(A50="","",IF(B50="Expected",IF(D50="Violation",IF(H50="","Needs start",IF(AND(K50&lt;&gt;"",OR(M50&lt;&gt;"Monitoring",Settings!$B$7="Yes"),ISNUMBER(L50),L50&lt;=J50),"TP","FN")),IF(AND(K50&lt;&gt;"",OR(M50&lt;&gt;"Monitoring",Settings!$B$7="Yes")),"FP","TN")),IF(P50="","Needs tag",IF(OR(P50="False alarm",P50="Unscripted – false alarm"),"FP",IF(P50="Duplicate","Duplicate",IF(P50="Late (real act)","Late","Excluded"))))))</f>
        <v/>
      </c>
      <c r="R50" s="47" t="n"/>
      <c r="S50" s="43" t="n"/>
      <c r="T50" s="43" t="n"/>
      <c r="U50" s="43" t="n"/>
      <c r="V50" s="47" t="n"/>
      <c r="W50" s="47" t="n"/>
      <c r="X50" s="52" t="n"/>
      <c r="Y50" s="43" t="n"/>
      <c r="Z50" s="55">
        <f>IF(OR(Y50="",Q50=""),"",IF(Y50=Q50,"OK","MISMATCH"))</f>
        <v/>
      </c>
      <c r="AA50" s="43" t="n"/>
    </row>
    <row r="51" ht="15" customHeight="1" s="35">
      <c r="A51" s="43" t="n"/>
      <c r="B51" s="47" t="n"/>
      <c r="C51" s="47" t="n"/>
      <c r="D51" s="47" t="n"/>
      <c r="E51" s="43" t="n"/>
      <c r="F51" s="52" t="n"/>
      <c r="G51" s="43" t="n"/>
      <c r="H51" s="51" t="n"/>
      <c r="I51" s="53">
        <f>IF(B51&lt;&gt;"Expected","",IF(C51="Parking Obstruction",IF(G51="Validation",Settings!$B$9,Settings!$B$8),IF(C51="Drinking",IF(G51="Validation",Settings!$B$11,Settings!$B$10),0)))</f>
        <v/>
      </c>
      <c r="J51" s="54">
        <f>IF(OR(B51&lt;&gt;"Expected",D51&lt;&gt;"Violation",H51=""),"",H51+I51+Settings!$B$5)</f>
        <v/>
      </c>
      <c r="K51" s="43" t="n"/>
      <c r="L51" s="51" t="n"/>
      <c r="M51" s="43" t="n"/>
      <c r="N51" s="54">
        <f>IF(AND(B51="Expected",D51="Violation",K51&lt;&gt;"",ISNUMBER(L51),ISNUMBER(H51)),L51-H51-I51,"")</f>
        <v/>
      </c>
      <c r="O51" s="43" t="n"/>
      <c r="P51" s="47" t="n"/>
      <c r="Q51" s="55">
        <f>IF(A51="","",IF(B51="Expected",IF(D51="Violation",IF(H51="","Needs start",IF(AND(K51&lt;&gt;"",OR(M51&lt;&gt;"Monitoring",Settings!$B$7="Yes"),ISNUMBER(L51),L51&lt;=J51),"TP","FN")),IF(AND(K51&lt;&gt;"",OR(M51&lt;&gt;"Monitoring",Settings!$B$7="Yes")),"FP","TN")),IF(P51="","Needs tag",IF(OR(P51="False alarm",P51="Unscripted – false alarm"),"FP",IF(P51="Duplicate","Duplicate",IF(P51="Late (real act)","Late","Excluded"))))))</f>
        <v/>
      </c>
      <c r="R51" s="47" t="n"/>
      <c r="S51" s="43" t="n"/>
      <c r="T51" s="43" t="n"/>
      <c r="U51" s="43" t="n"/>
      <c r="V51" s="47" t="n"/>
      <c r="W51" s="47" t="n"/>
      <c r="X51" s="52" t="n"/>
      <c r="Y51" s="43" t="n"/>
      <c r="Z51" s="55">
        <f>IF(OR(Y51="",Q51=""),"",IF(Y51=Q51,"OK","MISMATCH"))</f>
        <v/>
      </c>
      <c r="AA51" s="43" t="n"/>
    </row>
    <row r="52" ht="15" customHeight="1" s="35">
      <c r="A52" s="43" t="n"/>
      <c r="B52" s="47" t="n"/>
      <c r="C52" s="47" t="n"/>
      <c r="D52" s="47" t="n"/>
      <c r="E52" s="43" t="n"/>
      <c r="F52" s="52" t="n"/>
      <c r="G52" s="43" t="n"/>
      <c r="H52" s="51" t="n"/>
      <c r="I52" s="53">
        <f>IF(B52&lt;&gt;"Expected","",IF(C52="Parking Obstruction",IF(G52="Validation",Settings!$B$9,Settings!$B$8),IF(C52="Drinking",IF(G52="Validation",Settings!$B$11,Settings!$B$10),0)))</f>
        <v/>
      </c>
      <c r="J52" s="54">
        <f>IF(OR(B52&lt;&gt;"Expected",D52&lt;&gt;"Violation",H52=""),"",H52+I52+Settings!$B$5)</f>
        <v/>
      </c>
      <c r="K52" s="43" t="n"/>
      <c r="L52" s="51" t="n"/>
      <c r="M52" s="43" t="n"/>
      <c r="N52" s="54">
        <f>IF(AND(B52="Expected",D52="Violation",K52&lt;&gt;"",ISNUMBER(L52),ISNUMBER(H52)),L52-H52-I52,"")</f>
        <v/>
      </c>
      <c r="O52" s="43" t="n"/>
      <c r="P52" s="47" t="n"/>
      <c r="Q52" s="55">
        <f>IF(A52="","",IF(B52="Expected",IF(D52="Violation",IF(H52="","Needs start",IF(AND(K52&lt;&gt;"",OR(M52&lt;&gt;"Monitoring",Settings!$B$7="Yes"),ISNUMBER(L52),L52&lt;=J52),"TP","FN")),IF(AND(K52&lt;&gt;"",OR(M52&lt;&gt;"Monitoring",Settings!$B$7="Yes")),"FP","TN")),IF(P52="","Needs tag",IF(OR(P52="False alarm",P52="Unscripted – false alarm"),"FP",IF(P52="Duplicate","Duplicate",IF(P52="Late (real act)","Late","Excluded"))))))</f>
        <v/>
      </c>
      <c r="R52" s="47" t="n"/>
      <c r="S52" s="43" t="n"/>
      <c r="T52" s="43" t="n"/>
      <c r="U52" s="43" t="n"/>
      <c r="V52" s="47" t="n"/>
      <c r="W52" s="47" t="n"/>
      <c r="X52" s="52" t="n"/>
      <c r="Y52" s="43" t="n"/>
      <c r="Z52" s="55">
        <f>IF(OR(Y52="",Q52=""),"",IF(Y52=Q52,"OK","MISMATCH"))</f>
        <v/>
      </c>
      <c r="AA52" s="43" t="n"/>
    </row>
    <row r="53" ht="15" customHeight="1" s="35">
      <c r="A53" s="43" t="n"/>
      <c r="B53" s="47" t="n"/>
      <c r="C53" s="47" t="n"/>
      <c r="D53" s="47" t="n"/>
      <c r="E53" s="43" t="n"/>
      <c r="F53" s="52" t="n"/>
      <c r="G53" s="43" t="n"/>
      <c r="H53" s="51" t="n"/>
      <c r="I53" s="53">
        <f>IF(B53&lt;&gt;"Expected","",IF(C53="Parking Obstruction",IF(G53="Validation",Settings!$B$9,Settings!$B$8),IF(C53="Drinking",IF(G53="Validation",Settings!$B$11,Settings!$B$10),0)))</f>
        <v/>
      </c>
      <c r="J53" s="54">
        <f>IF(OR(B53&lt;&gt;"Expected",D53&lt;&gt;"Violation",H53=""),"",H53+I53+Settings!$B$5)</f>
        <v/>
      </c>
      <c r="K53" s="43" t="n"/>
      <c r="L53" s="51" t="n"/>
      <c r="M53" s="43" t="n"/>
      <c r="N53" s="54">
        <f>IF(AND(B53="Expected",D53="Violation",K53&lt;&gt;"",ISNUMBER(L53),ISNUMBER(H53)),L53-H53-I53,"")</f>
        <v/>
      </c>
      <c r="O53" s="43" t="n"/>
      <c r="P53" s="47" t="n"/>
      <c r="Q53" s="55">
        <f>IF(A53="","",IF(B53="Expected",IF(D53="Violation",IF(H53="","Needs start",IF(AND(K53&lt;&gt;"",OR(M53&lt;&gt;"Monitoring",Settings!$B$7="Yes"),ISNUMBER(L53),L53&lt;=J53),"TP","FN")),IF(AND(K53&lt;&gt;"",OR(M53&lt;&gt;"Monitoring",Settings!$B$7="Yes")),"FP","TN")),IF(P53="","Needs tag",IF(OR(P53="False alarm",P53="Unscripted – false alarm"),"FP",IF(P53="Duplicate","Duplicate",IF(P53="Late (real act)","Late","Excluded"))))))</f>
        <v/>
      </c>
      <c r="R53" s="47" t="n"/>
      <c r="S53" s="43" t="n"/>
      <c r="T53" s="43" t="n"/>
      <c r="U53" s="43" t="n"/>
      <c r="V53" s="47" t="n"/>
      <c r="W53" s="47" t="n"/>
      <c r="X53" s="52" t="n"/>
      <c r="Y53" s="43" t="n"/>
      <c r="Z53" s="55">
        <f>IF(OR(Y53="",Q53=""),"",IF(Y53=Q53,"OK","MISMATCH"))</f>
        <v/>
      </c>
      <c r="AA53" s="43" t="n"/>
    </row>
    <row r="54" ht="15" customHeight="1" s="35">
      <c r="A54" s="43" t="n"/>
      <c r="B54" s="47" t="n"/>
      <c r="C54" s="47" t="n"/>
      <c r="D54" s="47" t="n"/>
      <c r="E54" s="43" t="n"/>
      <c r="F54" s="52" t="n"/>
      <c r="G54" s="43" t="n"/>
      <c r="H54" s="51" t="n"/>
      <c r="I54" s="53">
        <f>IF(B54&lt;&gt;"Expected","",IF(C54="Parking Obstruction",IF(G54="Validation",Settings!$B$9,Settings!$B$8),IF(C54="Drinking",IF(G54="Validation",Settings!$B$11,Settings!$B$10),0)))</f>
        <v/>
      </c>
      <c r="J54" s="54">
        <f>IF(OR(B54&lt;&gt;"Expected",D54&lt;&gt;"Violation",H54=""),"",H54+I54+Settings!$B$5)</f>
        <v/>
      </c>
      <c r="K54" s="43" t="n"/>
      <c r="L54" s="51" t="n"/>
      <c r="M54" s="43" t="n"/>
      <c r="N54" s="54">
        <f>IF(AND(B54="Expected",D54="Violation",K54&lt;&gt;"",ISNUMBER(L54),ISNUMBER(H54)),L54-H54-I54,"")</f>
        <v/>
      </c>
      <c r="O54" s="43" t="n"/>
      <c r="P54" s="47" t="n"/>
      <c r="Q54" s="55">
        <f>IF(A54="","",IF(B54="Expected",IF(D54="Violation",IF(H54="","Needs start",IF(AND(K54&lt;&gt;"",OR(M54&lt;&gt;"Monitoring",Settings!$B$7="Yes"),ISNUMBER(L54),L54&lt;=J54),"TP","FN")),IF(AND(K54&lt;&gt;"",OR(M54&lt;&gt;"Monitoring",Settings!$B$7="Yes")),"FP","TN")),IF(P54="","Needs tag",IF(OR(P54="False alarm",P54="Unscripted – false alarm"),"FP",IF(P54="Duplicate","Duplicate",IF(P54="Late (real act)","Late","Excluded"))))))</f>
        <v/>
      </c>
      <c r="R54" s="47" t="n"/>
      <c r="S54" s="43" t="n"/>
      <c r="T54" s="43" t="n"/>
      <c r="U54" s="43" t="n"/>
      <c r="V54" s="47" t="n"/>
      <c r="W54" s="47" t="n"/>
      <c r="X54" s="52" t="n"/>
      <c r="Y54" s="43" t="n"/>
      <c r="Z54" s="55">
        <f>IF(OR(Y54="",Q54=""),"",IF(Y54=Q54,"OK","MISMATCH"))</f>
        <v/>
      </c>
      <c r="AA54" s="43" t="n"/>
    </row>
    <row r="55" ht="15" customHeight="1" s="35">
      <c r="A55" s="43" t="n"/>
      <c r="B55" s="47" t="n"/>
      <c r="C55" s="47" t="n"/>
      <c r="D55" s="47" t="n"/>
      <c r="E55" s="43" t="n"/>
      <c r="F55" s="52" t="n"/>
      <c r="G55" s="43" t="n"/>
      <c r="H55" s="51" t="n"/>
      <c r="I55" s="53">
        <f>IF(B55&lt;&gt;"Expected","",IF(C55="Parking Obstruction",IF(G55="Validation",Settings!$B$9,Settings!$B$8),IF(C55="Drinking",IF(G55="Validation",Settings!$B$11,Settings!$B$10),0)))</f>
        <v/>
      </c>
      <c r="J55" s="54">
        <f>IF(OR(B55&lt;&gt;"Expected",D55&lt;&gt;"Violation",H55=""),"",H55+I55+Settings!$B$5)</f>
        <v/>
      </c>
      <c r="K55" s="43" t="n"/>
      <c r="L55" s="51" t="n"/>
      <c r="M55" s="43" t="n"/>
      <c r="N55" s="54">
        <f>IF(AND(B55="Expected",D55="Violation",K55&lt;&gt;"",ISNUMBER(L55),ISNUMBER(H55)),L55-H55-I55,"")</f>
        <v/>
      </c>
      <c r="O55" s="43" t="n"/>
      <c r="P55" s="47" t="n"/>
      <c r="Q55" s="55">
        <f>IF(A55="","",IF(B55="Expected",IF(D55="Violation",IF(H55="","Needs start",IF(AND(K55&lt;&gt;"",OR(M55&lt;&gt;"Monitoring",Settings!$B$7="Yes"),ISNUMBER(L55),L55&lt;=J55),"TP","FN")),IF(AND(K55&lt;&gt;"",OR(M55&lt;&gt;"Monitoring",Settings!$B$7="Yes")),"FP","TN")),IF(P55="","Needs tag",IF(OR(P55="False alarm",P55="Unscripted – false alarm"),"FP",IF(P55="Duplicate","Duplicate",IF(P55="Late (real act)","Late","Excluded"))))))</f>
        <v/>
      </c>
      <c r="R55" s="47" t="n"/>
      <c r="S55" s="43" t="n"/>
      <c r="T55" s="43" t="n"/>
      <c r="U55" s="43" t="n"/>
      <c r="V55" s="47" t="n"/>
      <c r="W55" s="47" t="n"/>
      <c r="X55" s="52" t="n"/>
      <c r="Y55" s="43" t="n"/>
      <c r="Z55" s="55">
        <f>IF(OR(Y55="",Q55=""),"",IF(Y55=Q55,"OK","MISMATCH"))</f>
        <v/>
      </c>
      <c r="AA55" s="43" t="n"/>
    </row>
    <row r="56" ht="15" customHeight="1" s="35">
      <c r="A56" s="43" t="n"/>
      <c r="B56" s="47" t="n"/>
      <c r="C56" s="47" t="n"/>
      <c r="D56" s="47" t="n"/>
      <c r="E56" s="43" t="n"/>
      <c r="F56" s="52" t="n"/>
      <c r="G56" s="43" t="n"/>
      <c r="H56" s="51" t="n"/>
      <c r="I56" s="53">
        <f>IF(B56&lt;&gt;"Expected","",IF(C56="Parking Obstruction",IF(G56="Validation",Settings!$B$9,Settings!$B$8),IF(C56="Drinking",IF(G56="Validation",Settings!$B$11,Settings!$B$10),0)))</f>
        <v/>
      </c>
      <c r="J56" s="54">
        <f>IF(OR(B56&lt;&gt;"Expected",D56&lt;&gt;"Violation",H56=""),"",H56+I56+Settings!$B$5)</f>
        <v/>
      </c>
      <c r="K56" s="43" t="n"/>
      <c r="L56" s="51" t="n"/>
      <c r="M56" s="43" t="n"/>
      <c r="N56" s="54">
        <f>IF(AND(B56="Expected",D56="Violation",K56&lt;&gt;"",ISNUMBER(L56),ISNUMBER(H56)),L56-H56-I56,"")</f>
        <v/>
      </c>
      <c r="O56" s="43" t="n"/>
      <c r="P56" s="47" t="n"/>
      <c r="Q56" s="55">
        <f>IF(A56="","",IF(B56="Expected",IF(D56="Violation",IF(H56="","Needs start",IF(AND(K56&lt;&gt;"",OR(M56&lt;&gt;"Monitoring",Settings!$B$7="Yes"),ISNUMBER(L56),L56&lt;=J56),"TP","FN")),IF(AND(K56&lt;&gt;"",OR(M56&lt;&gt;"Monitoring",Settings!$B$7="Yes")),"FP","TN")),IF(P56="","Needs tag",IF(OR(P56="False alarm",P56="Unscripted – false alarm"),"FP",IF(P56="Duplicate","Duplicate",IF(P56="Late (real act)","Late","Excluded"))))))</f>
        <v/>
      </c>
      <c r="R56" s="47" t="n"/>
      <c r="S56" s="43" t="n"/>
      <c r="T56" s="43" t="n"/>
      <c r="U56" s="43" t="n"/>
      <c r="V56" s="47" t="n"/>
      <c r="W56" s="47" t="n"/>
      <c r="X56" s="52" t="n"/>
      <c r="Y56" s="43" t="n"/>
      <c r="Z56" s="55">
        <f>IF(OR(Y56="",Q56=""),"",IF(Y56=Q56,"OK","MISMATCH"))</f>
        <v/>
      </c>
      <c r="AA56" s="43" t="n"/>
    </row>
    <row r="57" ht="15" customHeight="1" s="35">
      <c r="A57" s="43" t="n"/>
      <c r="B57" s="47" t="n"/>
      <c r="C57" s="47" t="n"/>
      <c r="D57" s="47" t="n"/>
      <c r="E57" s="43" t="n"/>
      <c r="F57" s="52" t="n"/>
      <c r="G57" s="43" t="n"/>
      <c r="H57" s="51" t="n"/>
      <c r="I57" s="53">
        <f>IF(B57&lt;&gt;"Expected","",IF(C57="Parking Obstruction",IF(G57="Validation",Settings!$B$9,Settings!$B$8),IF(C57="Drinking",IF(G57="Validation",Settings!$B$11,Settings!$B$10),0)))</f>
        <v/>
      </c>
      <c r="J57" s="54">
        <f>IF(OR(B57&lt;&gt;"Expected",D57&lt;&gt;"Violation",H57=""),"",H57+I57+Settings!$B$5)</f>
        <v/>
      </c>
      <c r="K57" s="43" t="n"/>
      <c r="L57" s="51" t="n"/>
      <c r="M57" s="43" t="n"/>
      <c r="N57" s="54">
        <f>IF(AND(B57="Expected",D57="Violation",K57&lt;&gt;"",ISNUMBER(L57),ISNUMBER(H57)),L57-H57-I57,"")</f>
        <v/>
      </c>
      <c r="O57" s="43" t="n"/>
      <c r="P57" s="47" t="n"/>
      <c r="Q57" s="55">
        <f>IF(A57="","",IF(B57="Expected",IF(D57="Violation",IF(H57="","Needs start",IF(AND(K57&lt;&gt;"",OR(M57&lt;&gt;"Monitoring",Settings!$B$7="Yes"),ISNUMBER(L57),L57&lt;=J57),"TP","FN")),IF(AND(K57&lt;&gt;"",OR(M57&lt;&gt;"Monitoring",Settings!$B$7="Yes")),"FP","TN")),IF(P57="","Needs tag",IF(OR(P57="False alarm",P57="Unscripted – false alarm"),"FP",IF(P57="Duplicate","Duplicate",IF(P57="Late (real act)","Late","Excluded"))))))</f>
        <v/>
      </c>
      <c r="R57" s="47" t="n"/>
      <c r="S57" s="43" t="n"/>
      <c r="T57" s="43" t="n"/>
      <c r="U57" s="43" t="n"/>
      <c r="V57" s="47" t="n"/>
      <c r="W57" s="47" t="n"/>
      <c r="X57" s="52" t="n"/>
      <c r="Y57" s="43" t="n"/>
      <c r="Z57" s="55">
        <f>IF(OR(Y57="",Q57=""),"",IF(Y57=Q57,"OK","MISMATCH"))</f>
        <v/>
      </c>
      <c r="AA57" s="43" t="n"/>
    </row>
    <row r="58" ht="15" customHeight="1" s="35">
      <c r="A58" s="43" t="n"/>
      <c r="B58" s="47" t="n"/>
      <c r="C58" s="47" t="n"/>
      <c r="D58" s="47" t="n"/>
      <c r="E58" s="43" t="n"/>
      <c r="F58" s="52" t="n"/>
      <c r="G58" s="43" t="n"/>
      <c r="H58" s="51" t="n"/>
      <c r="I58" s="53">
        <f>IF(B58&lt;&gt;"Expected","",IF(C58="Parking Obstruction",IF(G58="Validation",Settings!$B$9,Settings!$B$8),IF(C58="Drinking",IF(G58="Validation",Settings!$B$11,Settings!$B$10),0)))</f>
        <v/>
      </c>
      <c r="J58" s="54">
        <f>IF(OR(B58&lt;&gt;"Expected",D58&lt;&gt;"Violation",H58=""),"",H58+I58+Settings!$B$5)</f>
        <v/>
      </c>
      <c r="K58" s="43" t="n"/>
      <c r="L58" s="51" t="n"/>
      <c r="M58" s="43" t="n"/>
      <c r="N58" s="54">
        <f>IF(AND(B58="Expected",D58="Violation",K58&lt;&gt;"",ISNUMBER(L58),ISNUMBER(H58)),L58-H58-I58,"")</f>
        <v/>
      </c>
      <c r="O58" s="43" t="n"/>
      <c r="P58" s="47" t="n"/>
      <c r="Q58" s="55">
        <f>IF(A58="","",IF(B58="Expected",IF(D58="Violation",IF(H58="","Needs start",IF(AND(K58&lt;&gt;"",OR(M58&lt;&gt;"Monitoring",Settings!$B$7="Yes"),ISNUMBER(L58),L58&lt;=J58),"TP","FN")),IF(AND(K58&lt;&gt;"",OR(M58&lt;&gt;"Monitoring",Settings!$B$7="Yes")),"FP","TN")),IF(P58="","Needs tag",IF(OR(P58="False alarm",P58="Unscripted – false alarm"),"FP",IF(P58="Duplicate","Duplicate",IF(P58="Late (real act)","Late","Excluded"))))))</f>
        <v/>
      </c>
      <c r="R58" s="47" t="n"/>
      <c r="S58" s="43" t="n"/>
      <c r="T58" s="43" t="n"/>
      <c r="U58" s="43" t="n"/>
      <c r="V58" s="47" t="n"/>
      <c r="W58" s="47" t="n"/>
      <c r="X58" s="52" t="n"/>
      <c r="Y58" s="43" t="n"/>
      <c r="Z58" s="55">
        <f>IF(OR(Y58="",Q58=""),"",IF(Y58=Q58,"OK","MISMATCH"))</f>
        <v/>
      </c>
      <c r="AA58" s="43" t="n"/>
    </row>
    <row r="59" ht="15" customHeight="1" s="35">
      <c r="A59" s="43" t="n"/>
      <c r="B59" s="47" t="n"/>
      <c r="C59" s="47" t="n"/>
      <c r="D59" s="47" t="n"/>
      <c r="E59" s="43" t="n"/>
      <c r="F59" s="52" t="n"/>
      <c r="G59" s="43" t="n"/>
      <c r="H59" s="51" t="n"/>
      <c r="I59" s="53">
        <f>IF(B59&lt;&gt;"Expected","",IF(C59="Parking Obstruction",IF(G59="Validation",Settings!$B$9,Settings!$B$8),IF(C59="Drinking",IF(G59="Validation",Settings!$B$11,Settings!$B$10),0)))</f>
        <v/>
      </c>
      <c r="J59" s="54">
        <f>IF(OR(B59&lt;&gt;"Expected",D59&lt;&gt;"Violation",H59=""),"",H59+I59+Settings!$B$5)</f>
        <v/>
      </c>
      <c r="K59" s="43" t="n"/>
      <c r="L59" s="51" t="n"/>
      <c r="M59" s="43" t="n"/>
      <c r="N59" s="54">
        <f>IF(AND(B59="Expected",D59="Violation",K59&lt;&gt;"",ISNUMBER(L59),ISNUMBER(H59)),L59-H59-I59,"")</f>
        <v/>
      </c>
      <c r="O59" s="43" t="n"/>
      <c r="P59" s="47" t="n"/>
      <c r="Q59" s="55">
        <f>IF(A59="","",IF(B59="Expected",IF(D59="Violation",IF(H59="","Needs start",IF(AND(K59&lt;&gt;"",OR(M59&lt;&gt;"Monitoring",Settings!$B$7="Yes"),ISNUMBER(L59),L59&lt;=J59),"TP","FN")),IF(AND(K59&lt;&gt;"",OR(M59&lt;&gt;"Monitoring",Settings!$B$7="Yes")),"FP","TN")),IF(P59="","Needs tag",IF(OR(P59="False alarm",P59="Unscripted – false alarm"),"FP",IF(P59="Duplicate","Duplicate",IF(P59="Late (real act)","Late","Excluded"))))))</f>
        <v/>
      </c>
      <c r="R59" s="47" t="n"/>
      <c r="S59" s="43" t="n"/>
      <c r="T59" s="43" t="n"/>
      <c r="U59" s="43" t="n"/>
      <c r="V59" s="47" t="n"/>
      <c r="W59" s="47" t="n"/>
      <c r="X59" s="52" t="n"/>
      <c r="Y59" s="43" t="n"/>
      <c r="Z59" s="55">
        <f>IF(OR(Y59="",Q59=""),"",IF(Y59=Q59,"OK","MISMATCH"))</f>
        <v/>
      </c>
      <c r="AA59" s="43" t="n"/>
    </row>
    <row r="60" ht="15" customHeight="1" s="35">
      <c r="A60" s="43" t="n"/>
      <c r="B60" s="47" t="n"/>
      <c r="C60" s="47" t="n"/>
      <c r="D60" s="47" t="n"/>
      <c r="E60" s="43" t="n"/>
      <c r="F60" s="52" t="n"/>
      <c r="G60" s="43" t="n"/>
      <c r="H60" s="51" t="n"/>
      <c r="I60" s="53">
        <f>IF(B60&lt;&gt;"Expected","",IF(C60="Parking Obstruction",IF(G60="Validation",Settings!$B$9,Settings!$B$8),IF(C60="Drinking",IF(G60="Validation",Settings!$B$11,Settings!$B$10),0)))</f>
        <v/>
      </c>
      <c r="J60" s="54">
        <f>IF(OR(B60&lt;&gt;"Expected",D60&lt;&gt;"Violation",H60=""),"",H60+I60+Settings!$B$5)</f>
        <v/>
      </c>
      <c r="K60" s="43" t="n"/>
      <c r="L60" s="51" t="n"/>
      <c r="M60" s="43" t="n"/>
      <c r="N60" s="54">
        <f>IF(AND(B60="Expected",D60="Violation",K60&lt;&gt;"",ISNUMBER(L60),ISNUMBER(H60)),L60-H60-I60,"")</f>
        <v/>
      </c>
      <c r="O60" s="43" t="n"/>
      <c r="P60" s="47" t="n"/>
      <c r="Q60" s="55">
        <f>IF(A60="","",IF(B60="Expected",IF(D60="Violation",IF(H60="","Needs start",IF(AND(K60&lt;&gt;"",OR(M60&lt;&gt;"Monitoring",Settings!$B$7="Yes"),ISNUMBER(L60),L60&lt;=J60),"TP","FN")),IF(AND(K60&lt;&gt;"",OR(M60&lt;&gt;"Monitoring",Settings!$B$7="Yes")),"FP","TN")),IF(P60="","Needs tag",IF(OR(P60="False alarm",P60="Unscripted – false alarm"),"FP",IF(P60="Duplicate","Duplicate",IF(P60="Late (real act)","Late","Excluded"))))))</f>
        <v/>
      </c>
      <c r="R60" s="47" t="n"/>
      <c r="S60" s="43" t="n"/>
      <c r="T60" s="43" t="n"/>
      <c r="U60" s="43" t="n"/>
      <c r="V60" s="47" t="n"/>
      <c r="W60" s="47" t="n"/>
      <c r="X60" s="52" t="n"/>
      <c r="Y60" s="43" t="n"/>
      <c r="Z60" s="55">
        <f>IF(OR(Y60="",Q60=""),"",IF(Y60=Q60,"OK","MISMATCH"))</f>
        <v/>
      </c>
      <c r="AA60" s="43" t="n"/>
    </row>
    <row r="61" ht="15" customHeight="1" s="35">
      <c r="A61" s="43" t="n"/>
      <c r="B61" s="47" t="n"/>
      <c r="C61" s="47" t="n"/>
      <c r="D61" s="47" t="n"/>
      <c r="E61" s="43" t="n"/>
      <c r="F61" s="52" t="n"/>
      <c r="G61" s="43" t="n"/>
      <c r="H61" s="51" t="n"/>
      <c r="I61" s="53">
        <f>IF(B61&lt;&gt;"Expected","",IF(C61="Parking Obstruction",IF(G61="Validation",Settings!$B$9,Settings!$B$8),IF(C61="Drinking",IF(G61="Validation",Settings!$B$11,Settings!$B$10),0)))</f>
        <v/>
      </c>
      <c r="J61" s="54">
        <f>IF(OR(B61&lt;&gt;"Expected",D61&lt;&gt;"Violation",H61=""),"",H61+I61+Settings!$B$5)</f>
        <v/>
      </c>
      <c r="K61" s="43" t="n"/>
      <c r="L61" s="51" t="n"/>
      <c r="M61" s="43" t="n"/>
      <c r="N61" s="54">
        <f>IF(AND(B61="Expected",D61="Violation",K61&lt;&gt;"",ISNUMBER(L61),ISNUMBER(H61)),L61-H61-I61,"")</f>
        <v/>
      </c>
      <c r="O61" s="43" t="n"/>
      <c r="P61" s="47" t="n"/>
      <c r="Q61" s="55">
        <f>IF(A61="","",IF(B61="Expected",IF(D61="Violation",IF(H61="","Needs start",IF(AND(K61&lt;&gt;"",OR(M61&lt;&gt;"Monitoring",Settings!$B$7="Yes"),ISNUMBER(L61),L61&lt;=J61),"TP","FN")),IF(AND(K61&lt;&gt;"",OR(M61&lt;&gt;"Monitoring",Settings!$B$7="Yes")),"FP","TN")),IF(P61="","Needs tag",IF(OR(P61="False alarm",P61="Unscripted – false alarm"),"FP",IF(P61="Duplicate","Duplicate",IF(P61="Late (real act)","Late","Excluded"))))))</f>
        <v/>
      </c>
      <c r="R61" s="47" t="n"/>
      <c r="S61" s="43" t="n"/>
      <c r="T61" s="43" t="n"/>
      <c r="U61" s="43" t="n"/>
      <c r="V61" s="47" t="n"/>
      <c r="W61" s="47" t="n"/>
      <c r="X61" s="52" t="n"/>
      <c r="Y61" s="43" t="n"/>
      <c r="Z61" s="55">
        <f>IF(OR(Y61="",Q61=""),"",IF(Y61=Q61,"OK","MISMATCH"))</f>
        <v/>
      </c>
      <c r="AA61" s="43" t="n"/>
    </row>
    <row r="62" ht="15" customHeight="1" s="35">
      <c r="A62" s="43" t="n"/>
      <c r="B62" s="47" t="n"/>
      <c r="C62" s="47" t="n"/>
      <c r="D62" s="47" t="n"/>
      <c r="E62" s="43" t="n"/>
      <c r="F62" s="52" t="n"/>
      <c r="G62" s="43" t="n"/>
      <c r="H62" s="51" t="n"/>
      <c r="I62" s="53">
        <f>IF(B62&lt;&gt;"Expected","",IF(C62="Parking Obstruction",IF(G62="Validation",Settings!$B$9,Settings!$B$8),IF(C62="Drinking",IF(G62="Validation",Settings!$B$11,Settings!$B$10),0)))</f>
        <v/>
      </c>
      <c r="J62" s="54">
        <f>IF(OR(B62&lt;&gt;"Expected",D62&lt;&gt;"Violation",H62=""),"",H62+I62+Settings!$B$5)</f>
        <v/>
      </c>
      <c r="K62" s="43" t="n"/>
      <c r="L62" s="51" t="n"/>
      <c r="M62" s="43" t="n"/>
      <c r="N62" s="54">
        <f>IF(AND(B62="Expected",D62="Violation",K62&lt;&gt;"",ISNUMBER(L62),ISNUMBER(H62)),L62-H62-I62,"")</f>
        <v/>
      </c>
      <c r="O62" s="43" t="n"/>
      <c r="P62" s="47" t="n"/>
      <c r="Q62" s="55">
        <f>IF(A62="","",IF(B62="Expected",IF(D62="Violation",IF(H62="","Needs start",IF(AND(K62&lt;&gt;"",OR(M62&lt;&gt;"Monitoring",Settings!$B$7="Yes"),ISNUMBER(L62),L62&lt;=J62),"TP","FN")),IF(AND(K62&lt;&gt;"",OR(M62&lt;&gt;"Monitoring",Settings!$B$7="Yes")),"FP","TN")),IF(P62="","Needs tag",IF(OR(P62="False alarm",P62="Unscripted – false alarm"),"FP",IF(P62="Duplicate","Duplicate",IF(P62="Late (real act)","Late","Excluded"))))))</f>
        <v/>
      </c>
      <c r="R62" s="47" t="n"/>
      <c r="S62" s="43" t="n"/>
      <c r="T62" s="43" t="n"/>
      <c r="U62" s="43" t="n"/>
      <c r="V62" s="47" t="n"/>
      <c r="W62" s="47" t="n"/>
      <c r="X62" s="52" t="n"/>
      <c r="Y62" s="43" t="n"/>
      <c r="Z62" s="55">
        <f>IF(OR(Y62="",Q62=""),"",IF(Y62=Q62,"OK","MISMATCH"))</f>
        <v/>
      </c>
      <c r="AA62" s="43" t="n"/>
    </row>
    <row r="63" ht="15" customHeight="1" s="35">
      <c r="A63" s="43" t="n"/>
      <c r="B63" s="47" t="n"/>
      <c r="C63" s="47" t="n"/>
      <c r="D63" s="47" t="n"/>
      <c r="E63" s="43" t="n"/>
      <c r="F63" s="52" t="n"/>
      <c r="G63" s="43" t="n"/>
      <c r="H63" s="51" t="n"/>
      <c r="I63" s="53">
        <f>IF(B63&lt;&gt;"Expected","",IF(C63="Parking Obstruction",IF(G63="Validation",Settings!$B$9,Settings!$B$8),IF(C63="Drinking",IF(G63="Validation",Settings!$B$11,Settings!$B$10),0)))</f>
        <v/>
      </c>
      <c r="J63" s="54">
        <f>IF(OR(B63&lt;&gt;"Expected",D63&lt;&gt;"Violation",H63=""),"",H63+I63+Settings!$B$5)</f>
        <v/>
      </c>
      <c r="K63" s="43" t="n"/>
      <c r="L63" s="51" t="n"/>
      <c r="M63" s="43" t="n"/>
      <c r="N63" s="54">
        <f>IF(AND(B63="Expected",D63="Violation",K63&lt;&gt;"",ISNUMBER(L63),ISNUMBER(H63)),L63-H63-I63,"")</f>
        <v/>
      </c>
      <c r="O63" s="43" t="n"/>
      <c r="P63" s="47" t="n"/>
      <c r="Q63" s="55">
        <f>IF(A63="","",IF(B63="Expected",IF(D63="Violation",IF(H63="","Needs start",IF(AND(K63&lt;&gt;"",OR(M63&lt;&gt;"Monitoring",Settings!$B$7="Yes"),ISNUMBER(L63),L63&lt;=J63),"TP","FN")),IF(AND(K63&lt;&gt;"",OR(M63&lt;&gt;"Monitoring",Settings!$B$7="Yes")),"FP","TN")),IF(P63="","Needs tag",IF(OR(P63="False alarm",P63="Unscripted – false alarm"),"FP",IF(P63="Duplicate","Duplicate",IF(P63="Late (real act)","Late","Excluded"))))))</f>
        <v/>
      </c>
      <c r="R63" s="47" t="n"/>
      <c r="S63" s="43" t="n"/>
      <c r="T63" s="43" t="n"/>
      <c r="U63" s="43" t="n"/>
      <c r="V63" s="47" t="n"/>
      <c r="W63" s="47" t="n"/>
      <c r="X63" s="52" t="n"/>
      <c r="Y63" s="43" t="n"/>
      <c r="Z63" s="55">
        <f>IF(OR(Y63="",Q63=""),"",IF(Y63=Q63,"OK","MISMATCH"))</f>
        <v/>
      </c>
      <c r="AA63" s="43" t="n"/>
    </row>
    <row r="64" ht="15" customHeight="1" s="35">
      <c r="A64" s="43" t="n"/>
      <c r="B64" s="47" t="n"/>
      <c r="C64" s="47" t="n"/>
      <c r="D64" s="47" t="n"/>
      <c r="E64" s="43" t="n"/>
      <c r="F64" s="52" t="n"/>
      <c r="G64" s="43" t="n"/>
      <c r="H64" s="51" t="n"/>
      <c r="I64" s="53">
        <f>IF(B64&lt;&gt;"Expected","",IF(C64="Parking Obstruction",IF(G64="Validation",Settings!$B$9,Settings!$B$8),IF(C64="Drinking",IF(G64="Validation",Settings!$B$11,Settings!$B$10),0)))</f>
        <v/>
      </c>
      <c r="J64" s="54">
        <f>IF(OR(B64&lt;&gt;"Expected",D64&lt;&gt;"Violation",H64=""),"",H64+I64+Settings!$B$5)</f>
        <v/>
      </c>
      <c r="K64" s="43" t="n"/>
      <c r="L64" s="51" t="n"/>
      <c r="M64" s="43" t="n"/>
      <c r="N64" s="54">
        <f>IF(AND(B64="Expected",D64="Violation",K64&lt;&gt;"",ISNUMBER(L64),ISNUMBER(H64)),L64-H64-I64,"")</f>
        <v/>
      </c>
      <c r="O64" s="43" t="n"/>
      <c r="P64" s="47" t="n"/>
      <c r="Q64" s="55">
        <f>IF(A64="","",IF(B64="Expected",IF(D64="Violation",IF(H64="","Needs start",IF(AND(K64&lt;&gt;"",OR(M64&lt;&gt;"Monitoring",Settings!$B$7="Yes"),ISNUMBER(L64),L64&lt;=J64),"TP","FN")),IF(AND(K64&lt;&gt;"",OR(M64&lt;&gt;"Monitoring",Settings!$B$7="Yes")),"FP","TN")),IF(P64="","Needs tag",IF(OR(P64="False alarm",P64="Unscripted – false alarm"),"FP",IF(P64="Duplicate","Duplicate",IF(P64="Late (real act)","Late","Excluded"))))))</f>
        <v/>
      </c>
      <c r="R64" s="47" t="n"/>
      <c r="S64" s="43" t="n"/>
      <c r="T64" s="43" t="n"/>
      <c r="U64" s="43" t="n"/>
      <c r="V64" s="47" t="n"/>
      <c r="W64" s="47" t="n"/>
      <c r="X64" s="52" t="n"/>
      <c r="Y64" s="43" t="n"/>
      <c r="Z64" s="55">
        <f>IF(OR(Y64="",Q64=""),"",IF(Y64=Q64,"OK","MISMATCH"))</f>
        <v/>
      </c>
      <c r="AA64" s="43" t="n"/>
    </row>
    <row r="65" ht="15" customHeight="1" s="35">
      <c r="A65" s="43" t="n"/>
      <c r="B65" s="47" t="n"/>
      <c r="C65" s="47" t="n"/>
      <c r="D65" s="47" t="n"/>
      <c r="E65" s="43" t="n"/>
      <c r="F65" s="52" t="n"/>
      <c r="G65" s="43" t="n"/>
      <c r="H65" s="51" t="n"/>
      <c r="I65" s="53">
        <f>IF(B65&lt;&gt;"Expected","",IF(C65="Parking Obstruction",IF(G65="Validation",Settings!$B$9,Settings!$B$8),IF(C65="Drinking",IF(G65="Validation",Settings!$B$11,Settings!$B$10),0)))</f>
        <v/>
      </c>
      <c r="J65" s="54">
        <f>IF(OR(B65&lt;&gt;"Expected",D65&lt;&gt;"Violation",H65=""),"",H65+I65+Settings!$B$5)</f>
        <v/>
      </c>
      <c r="K65" s="43" t="n"/>
      <c r="L65" s="51" t="n"/>
      <c r="M65" s="43" t="n"/>
      <c r="N65" s="54">
        <f>IF(AND(B65="Expected",D65="Violation",K65&lt;&gt;"",ISNUMBER(L65),ISNUMBER(H65)),L65-H65-I65,"")</f>
        <v/>
      </c>
      <c r="O65" s="43" t="n"/>
      <c r="P65" s="47" t="n"/>
      <c r="Q65" s="55">
        <f>IF(A65="","",IF(B65="Expected",IF(D65="Violation",IF(H65="","Needs start",IF(AND(K65&lt;&gt;"",OR(M65&lt;&gt;"Monitoring",Settings!$B$7="Yes"),ISNUMBER(L65),L65&lt;=J65),"TP","FN")),IF(AND(K65&lt;&gt;"",OR(M65&lt;&gt;"Monitoring",Settings!$B$7="Yes")),"FP","TN")),IF(P65="","Needs tag",IF(OR(P65="False alarm",P65="Unscripted – false alarm"),"FP",IF(P65="Duplicate","Duplicate",IF(P65="Late (real act)","Late","Excluded"))))))</f>
        <v/>
      </c>
      <c r="R65" s="47" t="n"/>
      <c r="S65" s="43" t="n"/>
      <c r="T65" s="43" t="n"/>
      <c r="U65" s="43" t="n"/>
      <c r="V65" s="47" t="n"/>
      <c r="W65" s="47" t="n"/>
      <c r="X65" s="52" t="n"/>
      <c r="Y65" s="43" t="n"/>
      <c r="Z65" s="55">
        <f>IF(OR(Y65="",Q65=""),"",IF(Y65=Q65,"OK","MISMATCH"))</f>
        <v/>
      </c>
      <c r="AA65" s="43" t="n"/>
    </row>
    <row r="66" ht="15" customHeight="1" s="35">
      <c r="A66" s="43" t="n"/>
      <c r="B66" s="47" t="n"/>
      <c r="C66" s="47" t="n"/>
      <c r="D66" s="47" t="n"/>
      <c r="E66" s="43" t="n"/>
      <c r="F66" s="52" t="n"/>
      <c r="G66" s="43" t="n"/>
      <c r="H66" s="51" t="n"/>
      <c r="I66" s="53">
        <f>IF(B66&lt;&gt;"Expected","",IF(C66="Parking Obstruction",IF(G66="Validation",Settings!$B$9,Settings!$B$8),IF(C66="Drinking",IF(G66="Validation",Settings!$B$11,Settings!$B$10),0)))</f>
        <v/>
      </c>
      <c r="J66" s="54">
        <f>IF(OR(B66&lt;&gt;"Expected",D66&lt;&gt;"Violation",H66=""),"",H66+I66+Settings!$B$5)</f>
        <v/>
      </c>
      <c r="K66" s="43" t="n"/>
      <c r="L66" s="51" t="n"/>
      <c r="M66" s="43" t="n"/>
      <c r="N66" s="54">
        <f>IF(AND(B66="Expected",D66="Violation",K66&lt;&gt;"",ISNUMBER(L66),ISNUMBER(H66)),L66-H66-I66,"")</f>
        <v/>
      </c>
      <c r="O66" s="43" t="n"/>
      <c r="P66" s="47" t="n"/>
      <c r="Q66" s="55">
        <f>IF(A66="","",IF(B66="Expected",IF(D66="Violation",IF(H66="","Needs start",IF(AND(K66&lt;&gt;"",OR(M66&lt;&gt;"Monitoring",Settings!$B$7="Yes"),ISNUMBER(L66),L66&lt;=J66),"TP","FN")),IF(AND(K66&lt;&gt;"",OR(M66&lt;&gt;"Monitoring",Settings!$B$7="Yes")),"FP","TN")),IF(P66="","Needs tag",IF(OR(P66="False alarm",P66="Unscripted – false alarm"),"FP",IF(P66="Duplicate","Duplicate",IF(P66="Late (real act)","Late","Excluded"))))))</f>
        <v/>
      </c>
      <c r="R66" s="47" t="n"/>
      <c r="S66" s="43" t="n"/>
      <c r="T66" s="43" t="n"/>
      <c r="U66" s="43" t="n"/>
      <c r="V66" s="47" t="n"/>
      <c r="W66" s="47" t="n"/>
      <c r="X66" s="52" t="n"/>
      <c r="Y66" s="43" t="n"/>
      <c r="Z66" s="55">
        <f>IF(OR(Y66="",Q66=""),"",IF(Y66=Q66,"OK","MISMATCH"))</f>
        <v/>
      </c>
      <c r="AA66" s="43" t="n"/>
    </row>
    <row r="67" ht="15" customHeight="1" s="35">
      <c r="A67" s="43" t="n"/>
      <c r="B67" s="47" t="n"/>
      <c r="C67" s="47" t="n"/>
      <c r="D67" s="47" t="n"/>
      <c r="E67" s="43" t="n"/>
      <c r="F67" s="52" t="n"/>
      <c r="G67" s="43" t="n"/>
      <c r="H67" s="51" t="n"/>
      <c r="I67" s="53">
        <f>IF(B67&lt;&gt;"Expected","",IF(C67="Parking Obstruction",IF(G67="Validation",Settings!$B$9,Settings!$B$8),IF(C67="Drinking",IF(G67="Validation",Settings!$B$11,Settings!$B$10),0)))</f>
        <v/>
      </c>
      <c r="J67" s="54">
        <f>IF(OR(B67&lt;&gt;"Expected",D67&lt;&gt;"Violation",H67=""),"",H67+I67+Settings!$B$5)</f>
        <v/>
      </c>
      <c r="K67" s="43" t="n"/>
      <c r="L67" s="51" t="n"/>
      <c r="M67" s="43" t="n"/>
      <c r="N67" s="54">
        <f>IF(AND(B67="Expected",D67="Violation",K67&lt;&gt;"",ISNUMBER(L67),ISNUMBER(H67)),L67-H67-I67,"")</f>
        <v/>
      </c>
      <c r="O67" s="43" t="n"/>
      <c r="P67" s="47" t="n"/>
      <c r="Q67" s="55">
        <f>IF(A67="","",IF(B67="Expected",IF(D67="Violation",IF(H67="","Needs start",IF(AND(K67&lt;&gt;"",OR(M67&lt;&gt;"Monitoring",Settings!$B$7="Yes"),ISNUMBER(L67),L67&lt;=J67),"TP","FN")),IF(AND(K67&lt;&gt;"",OR(M67&lt;&gt;"Monitoring",Settings!$B$7="Yes")),"FP","TN")),IF(P67="","Needs tag",IF(OR(P67="False alarm",P67="Unscripted – false alarm"),"FP",IF(P67="Duplicate","Duplicate",IF(P67="Late (real act)","Late","Excluded"))))))</f>
        <v/>
      </c>
      <c r="R67" s="47" t="n"/>
      <c r="S67" s="43" t="n"/>
      <c r="T67" s="43" t="n"/>
      <c r="U67" s="43" t="n"/>
      <c r="V67" s="47" t="n"/>
      <c r="W67" s="47" t="n"/>
      <c r="X67" s="52" t="n"/>
      <c r="Y67" s="43" t="n"/>
      <c r="Z67" s="55">
        <f>IF(OR(Y67="",Q67=""),"",IF(Y67=Q67,"OK","MISMATCH"))</f>
        <v/>
      </c>
      <c r="AA67" s="43" t="n"/>
    </row>
    <row r="68" ht="15" customHeight="1" s="35">
      <c r="A68" s="43" t="n"/>
      <c r="B68" s="47" t="n"/>
      <c r="C68" s="47" t="n"/>
      <c r="D68" s="47" t="n"/>
      <c r="E68" s="43" t="n"/>
      <c r="F68" s="52" t="n"/>
      <c r="G68" s="43" t="n"/>
      <c r="H68" s="51" t="n"/>
      <c r="I68" s="53">
        <f>IF(B68&lt;&gt;"Expected","",IF(C68="Parking Obstruction",IF(G68="Validation",Settings!$B$9,Settings!$B$8),IF(C68="Drinking",IF(G68="Validation",Settings!$B$11,Settings!$B$10),0)))</f>
        <v/>
      </c>
      <c r="J68" s="54">
        <f>IF(OR(B68&lt;&gt;"Expected",D68&lt;&gt;"Violation",H68=""),"",H68+I68+Settings!$B$5)</f>
        <v/>
      </c>
      <c r="K68" s="43" t="n"/>
      <c r="L68" s="51" t="n"/>
      <c r="M68" s="43" t="n"/>
      <c r="N68" s="54">
        <f>IF(AND(B68="Expected",D68="Violation",K68&lt;&gt;"",ISNUMBER(L68),ISNUMBER(H68)),L68-H68-I68,"")</f>
        <v/>
      </c>
      <c r="O68" s="43" t="n"/>
      <c r="P68" s="47" t="n"/>
      <c r="Q68" s="55">
        <f>IF(A68="","",IF(B68="Expected",IF(D68="Violation",IF(H68="","Needs start",IF(AND(K68&lt;&gt;"",OR(M68&lt;&gt;"Monitoring",Settings!$B$7="Yes"),ISNUMBER(L68),L68&lt;=J68),"TP","FN")),IF(AND(K68&lt;&gt;"",OR(M68&lt;&gt;"Monitoring",Settings!$B$7="Yes")),"FP","TN")),IF(P68="","Needs tag",IF(OR(P68="False alarm",P68="Unscripted – false alarm"),"FP",IF(P68="Duplicate","Duplicate",IF(P68="Late (real act)","Late","Excluded"))))))</f>
        <v/>
      </c>
      <c r="R68" s="47" t="n"/>
      <c r="S68" s="43" t="n"/>
      <c r="T68" s="43" t="n"/>
      <c r="U68" s="43" t="n"/>
      <c r="V68" s="47" t="n"/>
      <c r="W68" s="47" t="n"/>
      <c r="X68" s="52" t="n"/>
      <c r="Y68" s="43" t="n"/>
      <c r="Z68" s="55">
        <f>IF(OR(Y68="",Q68=""),"",IF(Y68=Q68,"OK","MISMATCH"))</f>
        <v/>
      </c>
      <c r="AA68" s="43" t="n"/>
    </row>
    <row r="69" ht="15" customHeight="1" s="35">
      <c r="A69" s="43" t="n"/>
      <c r="B69" s="47" t="n"/>
      <c r="C69" s="47" t="n"/>
      <c r="D69" s="47" t="n"/>
      <c r="E69" s="43" t="n"/>
      <c r="F69" s="52" t="n"/>
      <c r="G69" s="43" t="n"/>
      <c r="H69" s="51" t="n"/>
      <c r="I69" s="53">
        <f>IF(B69&lt;&gt;"Expected","",IF(C69="Parking Obstruction",IF(G69="Validation",Settings!$B$9,Settings!$B$8),IF(C69="Drinking",IF(G69="Validation",Settings!$B$11,Settings!$B$10),0)))</f>
        <v/>
      </c>
      <c r="J69" s="54">
        <f>IF(OR(B69&lt;&gt;"Expected",D69&lt;&gt;"Violation",H69=""),"",H69+I69+Settings!$B$5)</f>
        <v/>
      </c>
      <c r="K69" s="43" t="n"/>
      <c r="L69" s="51" t="n"/>
      <c r="M69" s="43" t="n"/>
      <c r="N69" s="54">
        <f>IF(AND(B69="Expected",D69="Violation",K69&lt;&gt;"",ISNUMBER(L69),ISNUMBER(H69)),L69-H69-I69,"")</f>
        <v/>
      </c>
      <c r="O69" s="43" t="n"/>
      <c r="P69" s="47" t="n"/>
      <c r="Q69" s="55">
        <f>IF(A69="","",IF(B69="Expected",IF(D69="Violation",IF(H69="","Needs start",IF(AND(K69&lt;&gt;"",OR(M69&lt;&gt;"Monitoring",Settings!$B$7="Yes"),ISNUMBER(L69),L69&lt;=J69),"TP","FN")),IF(AND(K69&lt;&gt;"",OR(M69&lt;&gt;"Monitoring",Settings!$B$7="Yes")),"FP","TN")),IF(P69="","Needs tag",IF(OR(P69="False alarm",P69="Unscripted – false alarm"),"FP",IF(P69="Duplicate","Duplicate",IF(P69="Late (real act)","Late","Excluded"))))))</f>
        <v/>
      </c>
      <c r="R69" s="47" t="n"/>
      <c r="S69" s="43" t="n"/>
      <c r="T69" s="43" t="n"/>
      <c r="U69" s="43" t="n"/>
      <c r="V69" s="47" t="n"/>
      <c r="W69" s="47" t="n"/>
      <c r="X69" s="52" t="n"/>
      <c r="Y69" s="43" t="n"/>
      <c r="Z69" s="55">
        <f>IF(OR(Y69="",Q69=""),"",IF(Y69=Q69,"OK","MISMATCH"))</f>
        <v/>
      </c>
      <c r="AA69" s="43" t="n"/>
    </row>
    <row r="70" ht="15" customHeight="1" s="35">
      <c r="A70" s="43" t="n"/>
      <c r="B70" s="47" t="n"/>
      <c r="C70" s="47" t="n"/>
      <c r="D70" s="47" t="n"/>
      <c r="E70" s="43" t="n"/>
      <c r="F70" s="52" t="n"/>
      <c r="G70" s="43" t="n"/>
      <c r="H70" s="51" t="n"/>
      <c r="I70" s="53">
        <f>IF(B70&lt;&gt;"Expected","",IF(C70="Parking Obstruction",IF(G70="Validation",Settings!$B$9,Settings!$B$8),IF(C70="Drinking",IF(G70="Validation",Settings!$B$11,Settings!$B$10),0)))</f>
        <v/>
      </c>
      <c r="J70" s="54">
        <f>IF(OR(B70&lt;&gt;"Expected",D70&lt;&gt;"Violation",H70=""),"",H70+I70+Settings!$B$5)</f>
        <v/>
      </c>
      <c r="K70" s="43" t="n"/>
      <c r="L70" s="51" t="n"/>
      <c r="M70" s="43" t="n"/>
      <c r="N70" s="54">
        <f>IF(AND(B70="Expected",D70="Violation",K70&lt;&gt;"",ISNUMBER(L70),ISNUMBER(H70)),L70-H70-I70,"")</f>
        <v/>
      </c>
      <c r="O70" s="43" t="n"/>
      <c r="P70" s="47" t="n"/>
      <c r="Q70" s="55">
        <f>IF(A70="","",IF(B70="Expected",IF(D70="Violation",IF(H70="","Needs start",IF(AND(K70&lt;&gt;"",OR(M70&lt;&gt;"Monitoring",Settings!$B$7="Yes"),ISNUMBER(L70),L70&lt;=J70),"TP","FN")),IF(AND(K70&lt;&gt;"",OR(M70&lt;&gt;"Monitoring",Settings!$B$7="Yes")),"FP","TN")),IF(P70="","Needs tag",IF(OR(P70="False alarm",P70="Unscripted – false alarm"),"FP",IF(P70="Duplicate","Duplicate",IF(P70="Late (real act)","Late","Excluded"))))))</f>
        <v/>
      </c>
      <c r="R70" s="47" t="n"/>
      <c r="S70" s="43" t="n"/>
      <c r="T70" s="43" t="n"/>
      <c r="U70" s="43" t="n"/>
      <c r="V70" s="47" t="n"/>
      <c r="W70" s="47" t="n"/>
      <c r="X70" s="52" t="n"/>
      <c r="Y70" s="43" t="n"/>
      <c r="Z70" s="55">
        <f>IF(OR(Y70="",Q70=""),"",IF(Y70=Q70,"OK","MISMATCH"))</f>
        <v/>
      </c>
      <c r="AA70" s="43" t="n"/>
    </row>
    <row r="71" ht="15" customHeight="1" s="35">
      <c r="A71" s="43" t="n"/>
      <c r="B71" s="47" t="n"/>
      <c r="C71" s="47" t="n"/>
      <c r="D71" s="47" t="n"/>
      <c r="E71" s="43" t="n"/>
      <c r="F71" s="52" t="n"/>
      <c r="G71" s="43" t="n"/>
      <c r="H71" s="51" t="n"/>
      <c r="I71" s="53">
        <f>IF(B71&lt;&gt;"Expected","",IF(C71="Parking Obstruction",IF(G71="Validation",Settings!$B$9,Settings!$B$8),IF(C71="Drinking",IF(G71="Validation",Settings!$B$11,Settings!$B$10),0)))</f>
        <v/>
      </c>
      <c r="J71" s="54">
        <f>IF(OR(B71&lt;&gt;"Expected",D71&lt;&gt;"Violation",H71=""),"",H71+I71+Settings!$B$5)</f>
        <v/>
      </c>
      <c r="K71" s="43" t="n"/>
      <c r="L71" s="51" t="n"/>
      <c r="M71" s="43" t="n"/>
      <c r="N71" s="54">
        <f>IF(AND(B71="Expected",D71="Violation",K71&lt;&gt;"",ISNUMBER(L71),ISNUMBER(H71)),L71-H71-I71,"")</f>
        <v/>
      </c>
      <c r="O71" s="43" t="n"/>
      <c r="P71" s="47" t="n"/>
      <c r="Q71" s="55">
        <f>IF(A71="","",IF(B71="Expected",IF(D71="Violation",IF(H71="","Needs start",IF(AND(K71&lt;&gt;"",OR(M71&lt;&gt;"Monitoring",Settings!$B$7="Yes"),ISNUMBER(L71),L71&lt;=J71),"TP","FN")),IF(AND(K71&lt;&gt;"",OR(M71&lt;&gt;"Monitoring",Settings!$B$7="Yes")),"FP","TN")),IF(P71="","Needs tag",IF(OR(P71="False alarm",P71="Unscripted – false alarm"),"FP",IF(P71="Duplicate","Duplicate",IF(P71="Late (real act)","Late","Excluded"))))))</f>
        <v/>
      </c>
      <c r="R71" s="47" t="n"/>
      <c r="S71" s="43" t="n"/>
      <c r="T71" s="43" t="n"/>
      <c r="U71" s="43" t="n"/>
      <c r="V71" s="47" t="n"/>
      <c r="W71" s="47" t="n"/>
      <c r="X71" s="52" t="n"/>
      <c r="Y71" s="43" t="n"/>
      <c r="Z71" s="55">
        <f>IF(OR(Y71="",Q71=""),"",IF(Y71=Q71,"OK","MISMATCH"))</f>
        <v/>
      </c>
      <c r="AA71" s="43" t="n"/>
    </row>
    <row r="72" ht="15" customHeight="1" s="35">
      <c r="A72" s="43" t="n"/>
      <c r="B72" s="47" t="n"/>
      <c r="C72" s="47" t="n"/>
      <c r="D72" s="47" t="n"/>
      <c r="E72" s="43" t="n"/>
      <c r="F72" s="52" t="n"/>
      <c r="G72" s="43" t="n"/>
      <c r="H72" s="51" t="n"/>
      <c r="I72" s="53">
        <f>IF(B72&lt;&gt;"Expected","",IF(C72="Parking Obstruction",IF(G72="Validation",Settings!$B$9,Settings!$B$8),IF(C72="Drinking",IF(G72="Validation",Settings!$B$11,Settings!$B$10),0)))</f>
        <v/>
      </c>
      <c r="J72" s="54">
        <f>IF(OR(B72&lt;&gt;"Expected",D72&lt;&gt;"Violation",H72=""),"",H72+I72+Settings!$B$5)</f>
        <v/>
      </c>
      <c r="K72" s="43" t="n"/>
      <c r="L72" s="51" t="n"/>
      <c r="M72" s="43" t="n"/>
      <c r="N72" s="54">
        <f>IF(AND(B72="Expected",D72="Violation",K72&lt;&gt;"",ISNUMBER(L72),ISNUMBER(H72)),L72-H72-I72,"")</f>
        <v/>
      </c>
      <c r="O72" s="43" t="n"/>
      <c r="P72" s="47" t="n"/>
      <c r="Q72" s="55">
        <f>IF(A72="","",IF(B72="Expected",IF(D72="Violation",IF(H72="","Needs start",IF(AND(K72&lt;&gt;"",OR(M72&lt;&gt;"Monitoring",Settings!$B$7="Yes"),ISNUMBER(L72),L72&lt;=J72),"TP","FN")),IF(AND(K72&lt;&gt;"",OR(M72&lt;&gt;"Monitoring",Settings!$B$7="Yes")),"FP","TN")),IF(P72="","Needs tag",IF(OR(P72="False alarm",P72="Unscripted – false alarm"),"FP",IF(P72="Duplicate","Duplicate",IF(P72="Late (real act)","Late","Excluded"))))))</f>
        <v/>
      </c>
      <c r="R72" s="47" t="n"/>
      <c r="S72" s="43" t="n"/>
      <c r="T72" s="43" t="n"/>
      <c r="U72" s="43" t="n"/>
      <c r="V72" s="47" t="n"/>
      <c r="W72" s="47" t="n"/>
      <c r="X72" s="52" t="n"/>
      <c r="Y72" s="43" t="n"/>
      <c r="Z72" s="55">
        <f>IF(OR(Y72="",Q72=""),"",IF(Y72=Q72,"OK","MISMATCH"))</f>
        <v/>
      </c>
      <c r="AA72" s="43" t="n"/>
    </row>
    <row r="73" ht="15" customHeight="1" s="35">
      <c r="A73" s="43" t="n"/>
      <c r="B73" s="47" t="n"/>
      <c r="C73" s="47" t="n"/>
      <c r="D73" s="47" t="n"/>
      <c r="E73" s="43" t="n"/>
      <c r="F73" s="52" t="n"/>
      <c r="G73" s="43" t="n"/>
      <c r="H73" s="51" t="n"/>
      <c r="I73" s="53">
        <f>IF(B73&lt;&gt;"Expected","",IF(C73="Parking Obstruction",IF(G73="Validation",Settings!$B$9,Settings!$B$8),IF(C73="Drinking",IF(G73="Validation",Settings!$B$11,Settings!$B$10),0)))</f>
        <v/>
      </c>
      <c r="J73" s="54">
        <f>IF(OR(B73&lt;&gt;"Expected",D73&lt;&gt;"Violation",H73=""),"",H73+I73+Settings!$B$5)</f>
        <v/>
      </c>
      <c r="K73" s="43" t="n"/>
      <c r="L73" s="51" t="n"/>
      <c r="M73" s="43" t="n"/>
      <c r="N73" s="54">
        <f>IF(AND(B73="Expected",D73="Violation",K73&lt;&gt;"",ISNUMBER(L73),ISNUMBER(H73)),L73-H73-I73,"")</f>
        <v/>
      </c>
      <c r="O73" s="43" t="n"/>
      <c r="P73" s="47" t="n"/>
      <c r="Q73" s="55">
        <f>IF(A73="","",IF(B73="Expected",IF(D73="Violation",IF(H73="","Needs start",IF(AND(K73&lt;&gt;"",OR(M73&lt;&gt;"Monitoring",Settings!$B$7="Yes"),ISNUMBER(L73),L73&lt;=J73),"TP","FN")),IF(AND(K73&lt;&gt;"",OR(M73&lt;&gt;"Monitoring",Settings!$B$7="Yes")),"FP","TN")),IF(P73="","Needs tag",IF(OR(P73="False alarm",P73="Unscripted – false alarm"),"FP",IF(P73="Duplicate","Duplicate",IF(P73="Late (real act)","Late","Excluded"))))))</f>
        <v/>
      </c>
      <c r="R73" s="47" t="n"/>
      <c r="S73" s="43" t="n"/>
      <c r="T73" s="43" t="n"/>
      <c r="U73" s="43" t="n"/>
      <c r="V73" s="47" t="n"/>
      <c r="W73" s="47" t="n"/>
      <c r="X73" s="52" t="n"/>
      <c r="Y73" s="43" t="n"/>
      <c r="Z73" s="55">
        <f>IF(OR(Y73="",Q73=""),"",IF(Y73=Q73,"OK","MISMATCH"))</f>
        <v/>
      </c>
      <c r="AA73" s="43" t="n"/>
    </row>
    <row r="74" ht="15" customHeight="1" s="35">
      <c r="A74" s="43" t="n"/>
      <c r="B74" s="47" t="n"/>
      <c r="C74" s="47" t="n"/>
      <c r="D74" s="47" t="n"/>
      <c r="E74" s="43" t="n"/>
      <c r="F74" s="52" t="n"/>
      <c r="G74" s="43" t="n"/>
      <c r="H74" s="51" t="n"/>
      <c r="I74" s="53">
        <f>IF(B74&lt;&gt;"Expected","",IF(C74="Parking Obstruction",IF(G74="Validation",Settings!$B$9,Settings!$B$8),IF(C74="Drinking",IF(G74="Validation",Settings!$B$11,Settings!$B$10),0)))</f>
        <v/>
      </c>
      <c r="J74" s="54">
        <f>IF(OR(B74&lt;&gt;"Expected",D74&lt;&gt;"Violation",H74=""),"",H74+I74+Settings!$B$5)</f>
        <v/>
      </c>
      <c r="K74" s="43" t="n"/>
      <c r="L74" s="51" t="n"/>
      <c r="M74" s="43" t="n"/>
      <c r="N74" s="54">
        <f>IF(AND(B74="Expected",D74="Violation",K74&lt;&gt;"",ISNUMBER(L74),ISNUMBER(H74)),L74-H74-I74,"")</f>
        <v/>
      </c>
      <c r="O74" s="43" t="n"/>
      <c r="P74" s="47" t="n"/>
      <c r="Q74" s="55">
        <f>IF(A74="","",IF(B74="Expected",IF(D74="Violation",IF(H74="","Needs start",IF(AND(K74&lt;&gt;"",OR(M74&lt;&gt;"Monitoring",Settings!$B$7="Yes"),ISNUMBER(L74),L74&lt;=J74),"TP","FN")),IF(AND(K74&lt;&gt;"",OR(M74&lt;&gt;"Monitoring",Settings!$B$7="Yes")),"FP","TN")),IF(P74="","Needs tag",IF(OR(P74="False alarm",P74="Unscripted – false alarm"),"FP",IF(P74="Duplicate","Duplicate",IF(P74="Late (real act)","Late","Excluded"))))))</f>
        <v/>
      </c>
      <c r="R74" s="47" t="n"/>
      <c r="S74" s="43" t="n"/>
      <c r="T74" s="43" t="n"/>
      <c r="U74" s="43" t="n"/>
      <c r="V74" s="47" t="n"/>
      <c r="W74" s="47" t="n"/>
      <c r="X74" s="52" t="n"/>
      <c r="Y74" s="43" t="n"/>
      <c r="Z74" s="55">
        <f>IF(OR(Y74="",Q74=""),"",IF(Y74=Q74,"OK","MISMATCH"))</f>
        <v/>
      </c>
      <c r="AA74" s="43" t="n"/>
    </row>
    <row r="75" ht="15" customHeight="1" s="35">
      <c r="A75" s="43" t="n"/>
      <c r="B75" s="47" t="n"/>
      <c r="C75" s="47" t="n"/>
      <c r="D75" s="47" t="n"/>
      <c r="E75" s="43" t="n"/>
      <c r="F75" s="52" t="n"/>
      <c r="G75" s="43" t="n"/>
      <c r="H75" s="51" t="n"/>
      <c r="I75" s="53">
        <f>IF(B75&lt;&gt;"Expected","",IF(C75="Parking Obstruction",IF(G75="Validation",Settings!$B$9,Settings!$B$8),IF(C75="Drinking",IF(G75="Validation",Settings!$B$11,Settings!$B$10),0)))</f>
        <v/>
      </c>
      <c r="J75" s="54">
        <f>IF(OR(B75&lt;&gt;"Expected",D75&lt;&gt;"Violation",H75=""),"",H75+I75+Settings!$B$5)</f>
        <v/>
      </c>
      <c r="K75" s="43" t="n"/>
      <c r="L75" s="51" t="n"/>
      <c r="M75" s="43" t="n"/>
      <c r="N75" s="54">
        <f>IF(AND(B75="Expected",D75="Violation",K75&lt;&gt;"",ISNUMBER(L75),ISNUMBER(H75)),L75-H75-I75,"")</f>
        <v/>
      </c>
      <c r="O75" s="43" t="n"/>
      <c r="P75" s="47" t="n"/>
      <c r="Q75" s="55">
        <f>IF(A75="","",IF(B75="Expected",IF(D75="Violation",IF(H75="","Needs start",IF(AND(K75&lt;&gt;"",OR(M75&lt;&gt;"Monitoring",Settings!$B$7="Yes"),ISNUMBER(L75),L75&lt;=J75),"TP","FN")),IF(AND(K75&lt;&gt;"",OR(M75&lt;&gt;"Monitoring",Settings!$B$7="Yes")),"FP","TN")),IF(P75="","Needs tag",IF(OR(P75="False alarm",P75="Unscripted – false alarm"),"FP",IF(P75="Duplicate","Duplicate",IF(P75="Late (real act)","Late","Excluded"))))))</f>
        <v/>
      </c>
      <c r="R75" s="47" t="n"/>
      <c r="S75" s="43" t="n"/>
      <c r="T75" s="43" t="n"/>
      <c r="U75" s="43" t="n"/>
      <c r="V75" s="47" t="n"/>
      <c r="W75" s="47" t="n"/>
      <c r="X75" s="52" t="n"/>
      <c r="Y75" s="43" t="n"/>
      <c r="Z75" s="55">
        <f>IF(OR(Y75="",Q75=""),"",IF(Y75=Q75,"OK","MISMATCH"))</f>
        <v/>
      </c>
      <c r="AA75" s="43" t="n"/>
    </row>
    <row r="76" ht="15" customHeight="1" s="35">
      <c r="A76" s="43" t="n"/>
      <c r="B76" s="47" t="n"/>
      <c r="C76" s="47" t="n"/>
      <c r="D76" s="47" t="n"/>
      <c r="E76" s="43" t="n"/>
      <c r="F76" s="52" t="n"/>
      <c r="G76" s="43" t="n"/>
      <c r="H76" s="51" t="n"/>
      <c r="I76" s="53">
        <f>IF(B76&lt;&gt;"Expected","",IF(C76="Parking Obstruction",IF(G76="Validation",Settings!$B$9,Settings!$B$8),IF(C76="Drinking",IF(G76="Validation",Settings!$B$11,Settings!$B$10),0)))</f>
        <v/>
      </c>
      <c r="J76" s="54">
        <f>IF(OR(B76&lt;&gt;"Expected",D76&lt;&gt;"Violation",H76=""),"",H76+I76+Settings!$B$5)</f>
        <v/>
      </c>
      <c r="K76" s="43" t="n"/>
      <c r="L76" s="51" t="n"/>
      <c r="M76" s="43" t="n"/>
      <c r="N76" s="54">
        <f>IF(AND(B76="Expected",D76="Violation",K76&lt;&gt;"",ISNUMBER(L76),ISNUMBER(H76)),L76-H76-I76,"")</f>
        <v/>
      </c>
      <c r="O76" s="43" t="n"/>
      <c r="P76" s="47" t="n"/>
      <c r="Q76" s="55">
        <f>IF(A76="","",IF(B76="Expected",IF(D76="Violation",IF(H76="","Needs start",IF(AND(K76&lt;&gt;"",OR(M76&lt;&gt;"Monitoring",Settings!$B$7="Yes"),ISNUMBER(L76),L76&lt;=J76),"TP","FN")),IF(AND(K76&lt;&gt;"",OR(M76&lt;&gt;"Monitoring",Settings!$B$7="Yes")),"FP","TN")),IF(P76="","Needs tag",IF(OR(P76="False alarm",P76="Unscripted – false alarm"),"FP",IF(P76="Duplicate","Duplicate",IF(P76="Late (real act)","Late","Excluded"))))))</f>
        <v/>
      </c>
      <c r="R76" s="47" t="n"/>
      <c r="S76" s="43" t="n"/>
      <c r="T76" s="43" t="n"/>
      <c r="U76" s="43" t="n"/>
      <c r="V76" s="47" t="n"/>
      <c r="W76" s="47" t="n"/>
      <c r="X76" s="52" t="n"/>
      <c r="Y76" s="43" t="n"/>
      <c r="Z76" s="55">
        <f>IF(OR(Y76="",Q76=""),"",IF(Y76=Q76,"OK","MISMATCH"))</f>
        <v/>
      </c>
      <c r="AA76" s="43" t="n"/>
    </row>
    <row r="77" ht="15" customHeight="1" s="35">
      <c r="A77" s="43" t="n"/>
      <c r="B77" s="47" t="n"/>
      <c r="C77" s="47" t="n"/>
      <c r="D77" s="47" t="n"/>
      <c r="E77" s="43" t="n"/>
      <c r="F77" s="52" t="n"/>
      <c r="G77" s="43" t="n"/>
      <c r="H77" s="51" t="n"/>
      <c r="I77" s="53">
        <f>IF(B77&lt;&gt;"Expected","",IF(C77="Parking Obstruction",IF(G77="Validation",Settings!$B$9,Settings!$B$8),IF(C77="Drinking",IF(G77="Validation",Settings!$B$11,Settings!$B$10),0)))</f>
        <v/>
      </c>
      <c r="J77" s="54">
        <f>IF(OR(B77&lt;&gt;"Expected",D77&lt;&gt;"Violation",H77=""),"",H77+I77+Settings!$B$5)</f>
        <v/>
      </c>
      <c r="K77" s="43" t="n"/>
      <c r="L77" s="51" t="n"/>
      <c r="M77" s="43" t="n"/>
      <c r="N77" s="54">
        <f>IF(AND(B77="Expected",D77="Violation",K77&lt;&gt;"",ISNUMBER(L77),ISNUMBER(H77)),L77-H77-I77,"")</f>
        <v/>
      </c>
      <c r="O77" s="43" t="n"/>
      <c r="P77" s="47" t="n"/>
      <c r="Q77" s="55">
        <f>IF(A77="","",IF(B77="Expected",IF(D77="Violation",IF(H77="","Needs start",IF(AND(K77&lt;&gt;"",OR(M77&lt;&gt;"Monitoring",Settings!$B$7="Yes"),ISNUMBER(L77),L77&lt;=J77),"TP","FN")),IF(AND(K77&lt;&gt;"",OR(M77&lt;&gt;"Monitoring",Settings!$B$7="Yes")),"FP","TN")),IF(P77="","Needs tag",IF(OR(P77="False alarm",P77="Unscripted – false alarm"),"FP",IF(P77="Duplicate","Duplicate",IF(P77="Late (real act)","Late","Excluded"))))))</f>
        <v/>
      </c>
      <c r="R77" s="47" t="n"/>
      <c r="S77" s="43" t="n"/>
      <c r="T77" s="43" t="n"/>
      <c r="U77" s="43" t="n"/>
      <c r="V77" s="47" t="n"/>
      <c r="W77" s="47" t="n"/>
      <c r="X77" s="52" t="n"/>
      <c r="Y77" s="43" t="n"/>
      <c r="Z77" s="55">
        <f>IF(OR(Y77="",Q77=""),"",IF(Y77=Q77,"OK","MISMATCH"))</f>
        <v/>
      </c>
      <c r="AA77" s="43" t="n"/>
    </row>
    <row r="78" ht="15" customHeight="1" s="35">
      <c r="A78" s="43" t="n"/>
      <c r="B78" s="47" t="n"/>
      <c r="C78" s="47" t="n"/>
      <c r="D78" s="47" t="n"/>
      <c r="E78" s="43" t="n"/>
      <c r="F78" s="52" t="n"/>
      <c r="G78" s="43" t="n"/>
      <c r="H78" s="51" t="n"/>
      <c r="I78" s="53">
        <f>IF(B78&lt;&gt;"Expected","",IF(C78="Parking Obstruction",IF(G78="Validation",Settings!$B$9,Settings!$B$8),IF(C78="Drinking",IF(G78="Validation",Settings!$B$11,Settings!$B$10),0)))</f>
        <v/>
      </c>
      <c r="J78" s="54">
        <f>IF(OR(B78&lt;&gt;"Expected",D78&lt;&gt;"Violation",H78=""),"",H78+I78+Settings!$B$5)</f>
        <v/>
      </c>
      <c r="K78" s="43" t="n"/>
      <c r="L78" s="51" t="n"/>
      <c r="M78" s="43" t="n"/>
      <c r="N78" s="54">
        <f>IF(AND(B78="Expected",D78="Violation",K78&lt;&gt;"",ISNUMBER(L78),ISNUMBER(H78)),L78-H78-I78,"")</f>
        <v/>
      </c>
      <c r="O78" s="43" t="n"/>
      <c r="P78" s="47" t="n"/>
      <c r="Q78" s="55">
        <f>IF(A78="","",IF(B78="Expected",IF(D78="Violation",IF(H78="","Needs start",IF(AND(K78&lt;&gt;"",OR(M78&lt;&gt;"Monitoring",Settings!$B$7="Yes"),ISNUMBER(L78),L78&lt;=J78),"TP","FN")),IF(AND(K78&lt;&gt;"",OR(M78&lt;&gt;"Monitoring",Settings!$B$7="Yes")),"FP","TN")),IF(P78="","Needs tag",IF(OR(P78="False alarm",P78="Unscripted – false alarm"),"FP",IF(P78="Duplicate","Duplicate",IF(P78="Late (real act)","Late","Excluded"))))))</f>
        <v/>
      </c>
      <c r="R78" s="47" t="n"/>
      <c r="S78" s="43" t="n"/>
      <c r="T78" s="43" t="n"/>
      <c r="U78" s="43" t="n"/>
      <c r="V78" s="47" t="n"/>
      <c r="W78" s="47" t="n"/>
      <c r="X78" s="52" t="n"/>
      <c r="Y78" s="43" t="n"/>
      <c r="Z78" s="55">
        <f>IF(OR(Y78="",Q78=""),"",IF(Y78=Q78,"OK","MISMATCH"))</f>
        <v/>
      </c>
      <c r="AA78" s="43" t="n"/>
    </row>
    <row r="79" ht="15" customHeight="1" s="35">
      <c r="A79" s="43" t="n"/>
      <c r="B79" s="47" t="n"/>
      <c r="C79" s="47" t="n"/>
      <c r="D79" s="47" t="n"/>
      <c r="E79" s="43" t="n"/>
      <c r="F79" s="52" t="n"/>
      <c r="G79" s="43" t="n"/>
      <c r="H79" s="51" t="n"/>
      <c r="I79" s="53">
        <f>IF(B79&lt;&gt;"Expected","",IF(C79="Parking Obstruction",IF(G79="Validation",Settings!$B$9,Settings!$B$8),IF(C79="Drinking",IF(G79="Validation",Settings!$B$11,Settings!$B$10),0)))</f>
        <v/>
      </c>
      <c r="J79" s="54">
        <f>IF(OR(B79&lt;&gt;"Expected",D79&lt;&gt;"Violation",H79=""),"",H79+I79+Settings!$B$5)</f>
        <v/>
      </c>
      <c r="K79" s="43" t="n"/>
      <c r="L79" s="51" t="n"/>
      <c r="M79" s="43" t="n"/>
      <c r="N79" s="54">
        <f>IF(AND(B79="Expected",D79="Violation",K79&lt;&gt;"",ISNUMBER(L79),ISNUMBER(H79)),L79-H79-I79,"")</f>
        <v/>
      </c>
      <c r="O79" s="43" t="n"/>
      <c r="P79" s="47" t="n"/>
      <c r="Q79" s="55">
        <f>IF(A79="","",IF(B79="Expected",IF(D79="Violation",IF(H79="","Needs start",IF(AND(K79&lt;&gt;"",OR(M79&lt;&gt;"Monitoring",Settings!$B$7="Yes"),ISNUMBER(L79),L79&lt;=J79),"TP","FN")),IF(AND(K79&lt;&gt;"",OR(M79&lt;&gt;"Monitoring",Settings!$B$7="Yes")),"FP","TN")),IF(P79="","Needs tag",IF(OR(P79="False alarm",P79="Unscripted – false alarm"),"FP",IF(P79="Duplicate","Duplicate",IF(P79="Late (real act)","Late","Excluded"))))))</f>
        <v/>
      </c>
      <c r="R79" s="47" t="n"/>
      <c r="S79" s="43" t="n"/>
      <c r="T79" s="43" t="n"/>
      <c r="U79" s="43" t="n"/>
      <c r="V79" s="47" t="n"/>
      <c r="W79" s="47" t="n"/>
      <c r="X79" s="52" t="n"/>
      <c r="Y79" s="43" t="n"/>
      <c r="Z79" s="55">
        <f>IF(OR(Y79="",Q79=""),"",IF(Y79=Q79,"OK","MISMATCH"))</f>
        <v/>
      </c>
      <c r="AA79" s="43" t="n"/>
    </row>
    <row r="80" ht="15" customHeight="1" s="35">
      <c r="A80" s="43" t="n"/>
      <c r="B80" s="47" t="n"/>
      <c r="C80" s="47" t="n"/>
      <c r="D80" s="47" t="n"/>
      <c r="E80" s="43" t="n"/>
      <c r="F80" s="52" t="n"/>
      <c r="G80" s="43" t="n"/>
      <c r="H80" s="51" t="n"/>
      <c r="I80" s="53">
        <f>IF(B80&lt;&gt;"Expected","",IF(C80="Parking Obstruction",IF(G80="Validation",Settings!$B$9,Settings!$B$8),IF(C80="Drinking",IF(G80="Validation",Settings!$B$11,Settings!$B$10),0)))</f>
        <v/>
      </c>
      <c r="J80" s="54">
        <f>IF(OR(B80&lt;&gt;"Expected",D80&lt;&gt;"Violation",H80=""),"",H80+I80+Settings!$B$5)</f>
        <v/>
      </c>
      <c r="K80" s="43" t="n"/>
      <c r="L80" s="51" t="n"/>
      <c r="M80" s="43" t="n"/>
      <c r="N80" s="54">
        <f>IF(AND(B80="Expected",D80="Violation",K80&lt;&gt;"",ISNUMBER(L80),ISNUMBER(H80)),L80-H80-I80,"")</f>
        <v/>
      </c>
      <c r="O80" s="43" t="n"/>
      <c r="P80" s="47" t="n"/>
      <c r="Q80" s="55">
        <f>IF(A80="","",IF(B80="Expected",IF(D80="Violation",IF(H80="","Needs start",IF(AND(K80&lt;&gt;"",OR(M80&lt;&gt;"Monitoring",Settings!$B$7="Yes"),ISNUMBER(L80),L80&lt;=J80),"TP","FN")),IF(AND(K80&lt;&gt;"",OR(M80&lt;&gt;"Monitoring",Settings!$B$7="Yes")),"FP","TN")),IF(P80="","Needs tag",IF(OR(P80="False alarm",P80="Unscripted – false alarm"),"FP",IF(P80="Duplicate","Duplicate",IF(P80="Late (real act)","Late","Excluded"))))))</f>
        <v/>
      </c>
      <c r="R80" s="47" t="n"/>
      <c r="S80" s="43" t="n"/>
      <c r="T80" s="43" t="n"/>
      <c r="U80" s="43" t="n"/>
      <c r="V80" s="47" t="n"/>
      <c r="W80" s="47" t="n"/>
      <c r="X80" s="52" t="n"/>
      <c r="Y80" s="43" t="n"/>
      <c r="Z80" s="55">
        <f>IF(OR(Y80="",Q80=""),"",IF(Y80=Q80,"OK","MISMATCH"))</f>
        <v/>
      </c>
      <c r="AA80" s="43" t="n"/>
    </row>
    <row r="81" ht="15" customHeight="1" s="35">
      <c r="A81" s="43" t="n"/>
      <c r="B81" s="47" t="n"/>
      <c r="C81" s="47" t="n"/>
      <c r="D81" s="47" t="n"/>
      <c r="E81" s="43" t="n"/>
      <c r="F81" s="52" t="n"/>
      <c r="G81" s="43" t="n"/>
      <c r="H81" s="51" t="n"/>
      <c r="I81" s="53">
        <f>IF(B81&lt;&gt;"Expected","",IF(C81="Parking Obstruction",IF(G81="Validation",Settings!$B$9,Settings!$B$8),IF(C81="Drinking",IF(G81="Validation",Settings!$B$11,Settings!$B$10),0)))</f>
        <v/>
      </c>
      <c r="J81" s="54">
        <f>IF(OR(B81&lt;&gt;"Expected",D81&lt;&gt;"Violation",H81=""),"",H81+I81+Settings!$B$5)</f>
        <v/>
      </c>
      <c r="K81" s="43" t="n"/>
      <c r="L81" s="51" t="n"/>
      <c r="M81" s="43" t="n"/>
      <c r="N81" s="54">
        <f>IF(AND(B81="Expected",D81="Violation",K81&lt;&gt;"",ISNUMBER(L81),ISNUMBER(H81)),L81-H81-I81,"")</f>
        <v/>
      </c>
      <c r="O81" s="43" t="n"/>
      <c r="P81" s="47" t="n"/>
      <c r="Q81" s="55">
        <f>IF(A81="","",IF(B81="Expected",IF(D81="Violation",IF(H81="","Needs start",IF(AND(K81&lt;&gt;"",OR(M81&lt;&gt;"Monitoring",Settings!$B$7="Yes"),ISNUMBER(L81),L81&lt;=J81),"TP","FN")),IF(AND(K81&lt;&gt;"",OR(M81&lt;&gt;"Monitoring",Settings!$B$7="Yes")),"FP","TN")),IF(P81="","Needs tag",IF(OR(P81="False alarm",P81="Unscripted – false alarm"),"FP",IF(P81="Duplicate","Duplicate",IF(P81="Late (real act)","Late","Excluded"))))))</f>
        <v/>
      </c>
      <c r="R81" s="47" t="n"/>
      <c r="S81" s="43" t="n"/>
      <c r="T81" s="43" t="n"/>
      <c r="U81" s="43" t="n"/>
      <c r="V81" s="47" t="n"/>
      <c r="W81" s="47" t="n"/>
      <c r="X81" s="52" t="n"/>
      <c r="Y81" s="43" t="n"/>
      <c r="Z81" s="55">
        <f>IF(OR(Y81="",Q81=""),"",IF(Y81=Q81,"OK","MISMATCH"))</f>
        <v/>
      </c>
      <c r="AA81" s="43" t="n"/>
    </row>
    <row r="82" ht="15" customHeight="1" s="35">
      <c r="A82" s="43" t="n"/>
      <c r="B82" s="47" t="n"/>
      <c r="C82" s="47" t="n"/>
      <c r="D82" s="47" t="n"/>
      <c r="E82" s="43" t="n"/>
      <c r="F82" s="52" t="n"/>
      <c r="G82" s="43" t="n"/>
      <c r="H82" s="51" t="n"/>
      <c r="I82" s="53">
        <f>IF(B82&lt;&gt;"Expected","",IF(C82="Parking Obstruction",IF(G82="Validation",Settings!$B$9,Settings!$B$8),IF(C82="Drinking",IF(G82="Validation",Settings!$B$11,Settings!$B$10),0)))</f>
        <v/>
      </c>
      <c r="J82" s="54">
        <f>IF(OR(B82&lt;&gt;"Expected",D82&lt;&gt;"Violation",H82=""),"",H82+I82+Settings!$B$5)</f>
        <v/>
      </c>
      <c r="K82" s="43" t="n"/>
      <c r="L82" s="51" t="n"/>
      <c r="M82" s="43" t="n"/>
      <c r="N82" s="54">
        <f>IF(AND(B82="Expected",D82="Violation",K82&lt;&gt;"",ISNUMBER(L82),ISNUMBER(H82)),L82-H82-I82,"")</f>
        <v/>
      </c>
      <c r="O82" s="43" t="n"/>
      <c r="P82" s="47" t="n"/>
      <c r="Q82" s="55">
        <f>IF(A82="","",IF(B82="Expected",IF(D82="Violation",IF(H82="","Needs start",IF(AND(K82&lt;&gt;"",OR(M82&lt;&gt;"Monitoring",Settings!$B$7="Yes"),ISNUMBER(L82),L82&lt;=J82),"TP","FN")),IF(AND(K82&lt;&gt;"",OR(M82&lt;&gt;"Monitoring",Settings!$B$7="Yes")),"FP","TN")),IF(P82="","Needs tag",IF(OR(P82="False alarm",P82="Unscripted – false alarm"),"FP",IF(P82="Duplicate","Duplicate",IF(P82="Late (real act)","Late","Excluded"))))))</f>
        <v/>
      </c>
      <c r="R82" s="47" t="n"/>
      <c r="S82" s="43" t="n"/>
      <c r="T82" s="43" t="n"/>
      <c r="U82" s="43" t="n"/>
      <c r="V82" s="47" t="n"/>
      <c r="W82" s="47" t="n"/>
      <c r="X82" s="52" t="n"/>
      <c r="Y82" s="43" t="n"/>
      <c r="Z82" s="55">
        <f>IF(OR(Y82="",Q82=""),"",IF(Y82=Q82,"OK","MISMATCH"))</f>
        <v/>
      </c>
      <c r="AA82" s="43" t="n"/>
    </row>
    <row r="83" ht="15" customHeight="1" s="35">
      <c r="A83" s="43" t="n"/>
      <c r="B83" s="47" t="n"/>
      <c r="C83" s="47" t="n"/>
      <c r="D83" s="47" t="n"/>
      <c r="E83" s="43" t="n"/>
      <c r="F83" s="52" t="n"/>
      <c r="G83" s="43" t="n"/>
      <c r="H83" s="51" t="n"/>
      <c r="I83" s="53">
        <f>IF(B83&lt;&gt;"Expected","",IF(C83="Parking Obstruction",IF(G83="Validation",Settings!$B$9,Settings!$B$8),IF(C83="Drinking",IF(G83="Validation",Settings!$B$11,Settings!$B$10),0)))</f>
        <v/>
      </c>
      <c r="J83" s="54">
        <f>IF(OR(B83&lt;&gt;"Expected",D83&lt;&gt;"Violation",H83=""),"",H83+I83+Settings!$B$5)</f>
        <v/>
      </c>
      <c r="K83" s="43" t="n"/>
      <c r="L83" s="51" t="n"/>
      <c r="M83" s="43" t="n"/>
      <c r="N83" s="54">
        <f>IF(AND(B83="Expected",D83="Violation",K83&lt;&gt;"",ISNUMBER(L83),ISNUMBER(H83)),L83-H83-I83,"")</f>
        <v/>
      </c>
      <c r="O83" s="43" t="n"/>
      <c r="P83" s="47" t="n"/>
      <c r="Q83" s="55">
        <f>IF(A83="","",IF(B83="Expected",IF(D83="Violation",IF(H83="","Needs start",IF(AND(K83&lt;&gt;"",OR(M83&lt;&gt;"Monitoring",Settings!$B$7="Yes"),ISNUMBER(L83),L83&lt;=J83),"TP","FN")),IF(AND(K83&lt;&gt;"",OR(M83&lt;&gt;"Monitoring",Settings!$B$7="Yes")),"FP","TN")),IF(P83="","Needs tag",IF(OR(P83="False alarm",P83="Unscripted – false alarm"),"FP",IF(P83="Duplicate","Duplicate",IF(P83="Late (real act)","Late","Excluded"))))))</f>
        <v/>
      </c>
      <c r="R83" s="47" t="n"/>
      <c r="S83" s="43" t="n"/>
      <c r="T83" s="43" t="n"/>
      <c r="U83" s="43" t="n"/>
      <c r="V83" s="47" t="n"/>
      <c r="W83" s="47" t="n"/>
      <c r="X83" s="52" t="n"/>
      <c r="Y83" s="43" t="n"/>
      <c r="Z83" s="55">
        <f>IF(OR(Y83="",Q83=""),"",IF(Y83=Q83,"OK","MISMATCH"))</f>
        <v/>
      </c>
      <c r="AA83" s="43" t="n"/>
    </row>
    <row r="84" ht="15" customHeight="1" s="35">
      <c r="A84" s="43" t="n"/>
      <c r="B84" s="47" t="n"/>
      <c r="C84" s="47" t="n"/>
      <c r="D84" s="47" t="n"/>
      <c r="E84" s="43" t="n"/>
      <c r="F84" s="52" t="n"/>
      <c r="G84" s="43" t="n"/>
      <c r="H84" s="51" t="n"/>
      <c r="I84" s="53">
        <f>IF(B84&lt;&gt;"Expected","",IF(C84="Parking Obstruction",IF(G84="Validation",Settings!$B$9,Settings!$B$8),IF(C84="Drinking",IF(G84="Validation",Settings!$B$11,Settings!$B$10),0)))</f>
        <v/>
      </c>
      <c r="J84" s="54">
        <f>IF(OR(B84&lt;&gt;"Expected",D84&lt;&gt;"Violation",H84=""),"",H84+I84+Settings!$B$5)</f>
        <v/>
      </c>
      <c r="K84" s="43" t="n"/>
      <c r="L84" s="51" t="n"/>
      <c r="M84" s="43" t="n"/>
      <c r="N84" s="54">
        <f>IF(AND(B84="Expected",D84="Violation",K84&lt;&gt;"",ISNUMBER(L84),ISNUMBER(H84)),L84-H84-I84,"")</f>
        <v/>
      </c>
      <c r="O84" s="43" t="n"/>
      <c r="P84" s="47" t="n"/>
      <c r="Q84" s="55">
        <f>IF(A84="","",IF(B84="Expected",IF(D84="Violation",IF(H84="","Needs start",IF(AND(K84&lt;&gt;"",OR(M84&lt;&gt;"Monitoring",Settings!$B$7="Yes"),ISNUMBER(L84),L84&lt;=J84),"TP","FN")),IF(AND(K84&lt;&gt;"",OR(M84&lt;&gt;"Monitoring",Settings!$B$7="Yes")),"FP","TN")),IF(P84="","Needs tag",IF(OR(P84="False alarm",P84="Unscripted – false alarm"),"FP",IF(P84="Duplicate","Duplicate",IF(P84="Late (real act)","Late","Excluded"))))))</f>
        <v/>
      </c>
      <c r="R84" s="47" t="n"/>
      <c r="S84" s="43" t="n"/>
      <c r="T84" s="43" t="n"/>
      <c r="U84" s="43" t="n"/>
      <c r="V84" s="47" t="n"/>
      <c r="W84" s="47" t="n"/>
      <c r="X84" s="52" t="n"/>
      <c r="Y84" s="43" t="n"/>
      <c r="Z84" s="55">
        <f>IF(OR(Y84="",Q84=""),"",IF(Y84=Q84,"OK","MISMATCH"))</f>
        <v/>
      </c>
      <c r="AA84" s="43" t="n"/>
    </row>
    <row r="85" ht="15" customHeight="1" s="35">
      <c r="A85" s="43" t="n"/>
      <c r="B85" s="47" t="n"/>
      <c r="C85" s="47" t="n"/>
      <c r="D85" s="47" t="n"/>
      <c r="E85" s="43" t="n"/>
      <c r="F85" s="52" t="n"/>
      <c r="G85" s="43" t="n"/>
      <c r="H85" s="51" t="n"/>
      <c r="I85" s="53">
        <f>IF(B85&lt;&gt;"Expected","",IF(C85="Parking Obstruction",IF(G85="Validation",Settings!$B$9,Settings!$B$8),IF(C85="Drinking",IF(G85="Validation",Settings!$B$11,Settings!$B$10),0)))</f>
        <v/>
      </c>
      <c r="J85" s="54">
        <f>IF(OR(B85&lt;&gt;"Expected",D85&lt;&gt;"Violation",H85=""),"",H85+I85+Settings!$B$5)</f>
        <v/>
      </c>
      <c r="K85" s="43" t="n"/>
      <c r="L85" s="51" t="n"/>
      <c r="M85" s="43" t="n"/>
      <c r="N85" s="54">
        <f>IF(AND(B85="Expected",D85="Violation",K85&lt;&gt;"",ISNUMBER(L85),ISNUMBER(H85)),L85-H85-I85,"")</f>
        <v/>
      </c>
      <c r="O85" s="43" t="n"/>
      <c r="P85" s="47" t="n"/>
      <c r="Q85" s="55">
        <f>IF(A85="","",IF(B85="Expected",IF(D85="Violation",IF(H85="","Needs start",IF(AND(K85&lt;&gt;"",OR(M85&lt;&gt;"Monitoring",Settings!$B$7="Yes"),ISNUMBER(L85),L85&lt;=J85),"TP","FN")),IF(AND(K85&lt;&gt;"",OR(M85&lt;&gt;"Monitoring",Settings!$B$7="Yes")),"FP","TN")),IF(P85="","Needs tag",IF(OR(P85="False alarm",P85="Unscripted – false alarm"),"FP",IF(P85="Duplicate","Duplicate",IF(P85="Late (real act)","Late","Excluded"))))))</f>
        <v/>
      </c>
      <c r="R85" s="47" t="n"/>
      <c r="S85" s="43" t="n"/>
      <c r="T85" s="43" t="n"/>
      <c r="U85" s="43" t="n"/>
      <c r="V85" s="47" t="n"/>
      <c r="W85" s="47" t="n"/>
      <c r="X85" s="52" t="n"/>
      <c r="Y85" s="43" t="n"/>
      <c r="Z85" s="55">
        <f>IF(OR(Y85="",Q85=""),"",IF(Y85=Q85,"OK","MISMATCH"))</f>
        <v/>
      </c>
      <c r="AA85" s="43" t="n"/>
    </row>
    <row r="86" ht="15" customHeight="1" s="35">
      <c r="A86" s="43" t="n"/>
      <c r="B86" s="47" t="n"/>
      <c r="C86" s="47" t="n"/>
      <c r="D86" s="47" t="n"/>
      <c r="E86" s="43" t="n"/>
      <c r="F86" s="52" t="n"/>
      <c r="G86" s="43" t="n"/>
      <c r="H86" s="51" t="n"/>
      <c r="I86" s="53">
        <f>IF(B86&lt;&gt;"Expected","",IF(C86="Parking Obstruction",IF(G86="Validation",Settings!$B$9,Settings!$B$8),IF(C86="Drinking",IF(G86="Validation",Settings!$B$11,Settings!$B$10),0)))</f>
        <v/>
      </c>
      <c r="J86" s="54">
        <f>IF(OR(B86&lt;&gt;"Expected",D86&lt;&gt;"Violation",H86=""),"",H86+I86+Settings!$B$5)</f>
        <v/>
      </c>
      <c r="K86" s="43" t="n"/>
      <c r="L86" s="51" t="n"/>
      <c r="M86" s="43" t="n"/>
      <c r="N86" s="54">
        <f>IF(AND(B86="Expected",D86="Violation",K86&lt;&gt;"",ISNUMBER(L86),ISNUMBER(H86)),L86-H86-I86,"")</f>
        <v/>
      </c>
      <c r="O86" s="43" t="n"/>
      <c r="P86" s="47" t="n"/>
      <c r="Q86" s="55">
        <f>IF(A86="","",IF(B86="Expected",IF(D86="Violation",IF(H86="","Needs start",IF(AND(K86&lt;&gt;"",OR(M86&lt;&gt;"Monitoring",Settings!$B$7="Yes"),ISNUMBER(L86),L86&lt;=J86),"TP","FN")),IF(AND(K86&lt;&gt;"",OR(M86&lt;&gt;"Monitoring",Settings!$B$7="Yes")),"FP","TN")),IF(P86="","Needs tag",IF(OR(P86="False alarm",P86="Unscripted – false alarm"),"FP",IF(P86="Duplicate","Duplicate",IF(P86="Late (real act)","Late","Excluded"))))))</f>
        <v/>
      </c>
      <c r="R86" s="47" t="n"/>
      <c r="S86" s="43" t="n"/>
      <c r="T86" s="43" t="n"/>
      <c r="U86" s="43" t="n"/>
      <c r="V86" s="47" t="n"/>
      <c r="W86" s="47" t="n"/>
      <c r="X86" s="52" t="n"/>
      <c r="Y86" s="43" t="n"/>
      <c r="Z86" s="55">
        <f>IF(OR(Y86="",Q86=""),"",IF(Y86=Q86,"OK","MISMATCH"))</f>
        <v/>
      </c>
      <c r="AA86" s="43" t="n"/>
    </row>
    <row r="87" ht="15" customHeight="1" s="35">
      <c r="A87" s="43" t="n"/>
      <c r="B87" s="47" t="n"/>
      <c r="C87" s="47" t="n"/>
      <c r="D87" s="47" t="n"/>
      <c r="E87" s="43" t="n"/>
      <c r="F87" s="52" t="n"/>
      <c r="G87" s="43" t="n"/>
      <c r="H87" s="51" t="n"/>
      <c r="I87" s="53">
        <f>IF(B87&lt;&gt;"Expected","",IF(C87="Parking Obstruction",IF(G87="Validation",Settings!$B$9,Settings!$B$8),IF(C87="Drinking",IF(G87="Validation",Settings!$B$11,Settings!$B$10),0)))</f>
        <v/>
      </c>
      <c r="J87" s="54">
        <f>IF(OR(B87&lt;&gt;"Expected",D87&lt;&gt;"Violation",H87=""),"",H87+I87+Settings!$B$5)</f>
        <v/>
      </c>
      <c r="K87" s="43" t="n"/>
      <c r="L87" s="51" t="n"/>
      <c r="M87" s="43" t="n"/>
      <c r="N87" s="54">
        <f>IF(AND(B87="Expected",D87="Violation",K87&lt;&gt;"",ISNUMBER(L87),ISNUMBER(H87)),L87-H87-I87,"")</f>
        <v/>
      </c>
      <c r="O87" s="43" t="n"/>
      <c r="P87" s="47" t="n"/>
      <c r="Q87" s="55">
        <f>IF(A87="","",IF(B87="Expected",IF(D87="Violation",IF(H87="","Needs start",IF(AND(K87&lt;&gt;"",OR(M87&lt;&gt;"Monitoring",Settings!$B$7="Yes"),ISNUMBER(L87),L87&lt;=J87),"TP","FN")),IF(AND(K87&lt;&gt;"",OR(M87&lt;&gt;"Monitoring",Settings!$B$7="Yes")),"FP","TN")),IF(P87="","Needs tag",IF(OR(P87="False alarm",P87="Unscripted – false alarm"),"FP",IF(P87="Duplicate","Duplicate",IF(P87="Late (real act)","Late","Excluded"))))))</f>
        <v/>
      </c>
      <c r="R87" s="47" t="n"/>
      <c r="S87" s="43" t="n"/>
      <c r="T87" s="43" t="n"/>
      <c r="U87" s="43" t="n"/>
      <c r="V87" s="47" t="n"/>
      <c r="W87" s="47" t="n"/>
      <c r="X87" s="52" t="n"/>
      <c r="Y87" s="43" t="n"/>
      <c r="Z87" s="55">
        <f>IF(OR(Y87="",Q87=""),"",IF(Y87=Q87,"OK","MISMATCH"))</f>
        <v/>
      </c>
      <c r="AA87" s="43" t="n"/>
    </row>
    <row r="88" ht="15" customHeight="1" s="35">
      <c r="A88" s="43" t="n"/>
      <c r="B88" s="47" t="n"/>
      <c r="C88" s="47" t="n"/>
      <c r="D88" s="47" t="n"/>
      <c r="E88" s="43" t="n"/>
      <c r="F88" s="52" t="n"/>
      <c r="G88" s="43" t="n"/>
      <c r="H88" s="51" t="n"/>
      <c r="I88" s="53">
        <f>IF(B88&lt;&gt;"Expected","",IF(C88="Parking Obstruction",IF(G88="Validation",Settings!$B$9,Settings!$B$8),IF(C88="Drinking",IF(G88="Validation",Settings!$B$11,Settings!$B$10),0)))</f>
        <v/>
      </c>
      <c r="J88" s="54">
        <f>IF(OR(B88&lt;&gt;"Expected",D88&lt;&gt;"Violation",H88=""),"",H88+I88+Settings!$B$5)</f>
        <v/>
      </c>
      <c r="K88" s="43" t="n"/>
      <c r="L88" s="51" t="n"/>
      <c r="M88" s="43" t="n"/>
      <c r="N88" s="54">
        <f>IF(AND(B88="Expected",D88="Violation",K88&lt;&gt;"",ISNUMBER(L88),ISNUMBER(H88)),L88-H88-I88,"")</f>
        <v/>
      </c>
      <c r="O88" s="43" t="n"/>
      <c r="P88" s="47" t="n"/>
      <c r="Q88" s="55">
        <f>IF(A88="","",IF(B88="Expected",IF(D88="Violation",IF(H88="","Needs start",IF(AND(K88&lt;&gt;"",OR(M88&lt;&gt;"Monitoring",Settings!$B$7="Yes"),ISNUMBER(L88),L88&lt;=J88),"TP","FN")),IF(AND(K88&lt;&gt;"",OR(M88&lt;&gt;"Monitoring",Settings!$B$7="Yes")),"FP","TN")),IF(P88="","Needs tag",IF(OR(P88="False alarm",P88="Unscripted – false alarm"),"FP",IF(P88="Duplicate","Duplicate",IF(P88="Late (real act)","Late","Excluded"))))))</f>
        <v/>
      </c>
      <c r="R88" s="47" t="n"/>
      <c r="S88" s="43" t="n"/>
      <c r="T88" s="43" t="n"/>
      <c r="U88" s="43" t="n"/>
      <c r="V88" s="47" t="n"/>
      <c r="W88" s="47" t="n"/>
      <c r="X88" s="52" t="n"/>
      <c r="Y88" s="43" t="n"/>
      <c r="Z88" s="55">
        <f>IF(OR(Y88="",Q88=""),"",IF(Y88=Q88,"OK","MISMATCH"))</f>
        <v/>
      </c>
      <c r="AA88" s="43" t="n"/>
    </row>
    <row r="89" ht="15" customHeight="1" s="35">
      <c r="A89" s="43" t="n"/>
      <c r="B89" s="47" t="n"/>
      <c r="C89" s="47" t="n"/>
      <c r="D89" s="47" t="n"/>
      <c r="E89" s="43" t="n"/>
      <c r="F89" s="52" t="n"/>
      <c r="G89" s="43" t="n"/>
      <c r="H89" s="51" t="n"/>
      <c r="I89" s="53">
        <f>IF(B89&lt;&gt;"Expected","",IF(C89="Parking Obstruction",IF(G89="Validation",Settings!$B$9,Settings!$B$8),IF(C89="Drinking",IF(G89="Validation",Settings!$B$11,Settings!$B$10),0)))</f>
        <v/>
      </c>
      <c r="J89" s="54">
        <f>IF(OR(B89&lt;&gt;"Expected",D89&lt;&gt;"Violation",H89=""),"",H89+I89+Settings!$B$5)</f>
        <v/>
      </c>
      <c r="K89" s="43" t="n"/>
      <c r="L89" s="51" t="n"/>
      <c r="M89" s="43" t="n"/>
      <c r="N89" s="54">
        <f>IF(AND(B89="Expected",D89="Violation",K89&lt;&gt;"",ISNUMBER(L89),ISNUMBER(H89)),L89-H89-I89,"")</f>
        <v/>
      </c>
      <c r="O89" s="43" t="n"/>
      <c r="P89" s="47" t="n"/>
      <c r="Q89" s="55">
        <f>IF(A89="","",IF(B89="Expected",IF(D89="Violation",IF(H89="","Needs start",IF(AND(K89&lt;&gt;"",OR(M89&lt;&gt;"Monitoring",Settings!$B$7="Yes"),ISNUMBER(L89),L89&lt;=J89),"TP","FN")),IF(AND(K89&lt;&gt;"",OR(M89&lt;&gt;"Monitoring",Settings!$B$7="Yes")),"FP","TN")),IF(P89="","Needs tag",IF(OR(P89="False alarm",P89="Unscripted – false alarm"),"FP",IF(P89="Duplicate","Duplicate",IF(P89="Late (real act)","Late","Excluded"))))))</f>
        <v/>
      </c>
      <c r="R89" s="47" t="n"/>
      <c r="S89" s="43" t="n"/>
      <c r="T89" s="43" t="n"/>
      <c r="U89" s="43" t="n"/>
      <c r="V89" s="47" t="n"/>
      <c r="W89" s="47" t="n"/>
      <c r="X89" s="52" t="n"/>
      <c r="Y89" s="43" t="n"/>
      <c r="Z89" s="55">
        <f>IF(OR(Y89="",Q89=""),"",IF(Y89=Q89,"OK","MISMATCH"))</f>
        <v/>
      </c>
      <c r="AA89" s="43" t="n"/>
    </row>
    <row r="90" ht="15" customHeight="1" s="35">
      <c r="A90" s="43" t="n"/>
      <c r="B90" s="47" t="n"/>
      <c r="C90" s="47" t="n"/>
      <c r="D90" s="47" t="n"/>
      <c r="E90" s="43" t="n"/>
      <c r="F90" s="52" t="n"/>
      <c r="G90" s="43" t="n"/>
      <c r="H90" s="51" t="n"/>
      <c r="I90" s="53">
        <f>IF(B90&lt;&gt;"Expected","",IF(C90="Parking Obstruction",IF(G90="Validation",Settings!$B$9,Settings!$B$8),IF(C90="Drinking",IF(G90="Validation",Settings!$B$11,Settings!$B$10),0)))</f>
        <v/>
      </c>
      <c r="J90" s="54">
        <f>IF(OR(B90&lt;&gt;"Expected",D90&lt;&gt;"Violation",H90=""),"",H90+I90+Settings!$B$5)</f>
        <v/>
      </c>
      <c r="K90" s="43" t="n"/>
      <c r="L90" s="51" t="n"/>
      <c r="M90" s="43" t="n"/>
      <c r="N90" s="54">
        <f>IF(AND(B90="Expected",D90="Violation",K90&lt;&gt;"",ISNUMBER(L90),ISNUMBER(H90)),L90-H90-I90,"")</f>
        <v/>
      </c>
      <c r="O90" s="43" t="n"/>
      <c r="P90" s="47" t="n"/>
      <c r="Q90" s="55">
        <f>IF(A90="","",IF(B90="Expected",IF(D90="Violation",IF(H90="","Needs start",IF(AND(K90&lt;&gt;"",OR(M90&lt;&gt;"Monitoring",Settings!$B$7="Yes"),ISNUMBER(L90),L90&lt;=J90),"TP","FN")),IF(AND(K90&lt;&gt;"",OR(M90&lt;&gt;"Monitoring",Settings!$B$7="Yes")),"FP","TN")),IF(P90="","Needs tag",IF(OR(P90="False alarm",P90="Unscripted – false alarm"),"FP",IF(P90="Duplicate","Duplicate",IF(P90="Late (real act)","Late","Excluded"))))))</f>
        <v/>
      </c>
      <c r="R90" s="47" t="n"/>
      <c r="S90" s="43" t="n"/>
      <c r="T90" s="43" t="n"/>
      <c r="U90" s="43" t="n"/>
      <c r="V90" s="47" t="n"/>
      <c r="W90" s="47" t="n"/>
      <c r="X90" s="52" t="n"/>
      <c r="Y90" s="43" t="n"/>
      <c r="Z90" s="55">
        <f>IF(OR(Y90="",Q90=""),"",IF(Y90=Q90,"OK","MISMATCH"))</f>
        <v/>
      </c>
      <c r="AA90" s="43" t="n"/>
    </row>
    <row r="91" ht="15" customHeight="1" s="35">
      <c r="A91" s="43" t="n"/>
      <c r="B91" s="47" t="n"/>
      <c r="C91" s="47" t="n"/>
      <c r="D91" s="47" t="n"/>
      <c r="E91" s="43" t="n"/>
      <c r="F91" s="52" t="n"/>
      <c r="G91" s="43" t="n"/>
      <c r="H91" s="51" t="n"/>
      <c r="I91" s="53">
        <f>IF(B91&lt;&gt;"Expected","",IF(C91="Parking Obstruction",IF(G91="Validation",Settings!$B$9,Settings!$B$8),IF(C91="Drinking",IF(G91="Validation",Settings!$B$11,Settings!$B$10),0)))</f>
        <v/>
      </c>
      <c r="J91" s="54">
        <f>IF(OR(B91&lt;&gt;"Expected",D91&lt;&gt;"Violation",H91=""),"",H91+I91+Settings!$B$5)</f>
        <v/>
      </c>
      <c r="K91" s="43" t="n"/>
      <c r="L91" s="51" t="n"/>
      <c r="M91" s="43" t="n"/>
      <c r="N91" s="54">
        <f>IF(AND(B91="Expected",D91="Violation",K91&lt;&gt;"",ISNUMBER(L91),ISNUMBER(H91)),L91-H91-I91,"")</f>
        <v/>
      </c>
      <c r="O91" s="43" t="n"/>
      <c r="P91" s="47" t="n"/>
      <c r="Q91" s="55">
        <f>IF(A91="","",IF(B91="Expected",IF(D91="Violation",IF(H91="","Needs start",IF(AND(K91&lt;&gt;"",OR(M91&lt;&gt;"Monitoring",Settings!$B$7="Yes"),ISNUMBER(L91),L91&lt;=J91),"TP","FN")),IF(AND(K91&lt;&gt;"",OR(M91&lt;&gt;"Monitoring",Settings!$B$7="Yes")),"FP","TN")),IF(P91="","Needs tag",IF(OR(P91="False alarm",P91="Unscripted – false alarm"),"FP",IF(P91="Duplicate","Duplicate",IF(P91="Late (real act)","Late","Excluded"))))))</f>
        <v/>
      </c>
      <c r="R91" s="47" t="n"/>
      <c r="S91" s="43" t="n"/>
      <c r="T91" s="43" t="n"/>
      <c r="U91" s="43" t="n"/>
      <c r="V91" s="47" t="n"/>
      <c r="W91" s="47" t="n"/>
      <c r="X91" s="52" t="n"/>
      <c r="Y91" s="43" t="n"/>
      <c r="Z91" s="55">
        <f>IF(OR(Y91="",Q91=""),"",IF(Y91=Q91,"OK","MISMATCH"))</f>
        <v/>
      </c>
      <c r="AA91" s="43" t="n"/>
    </row>
    <row r="92" ht="15" customHeight="1" s="35">
      <c r="A92" s="43" t="n"/>
      <c r="B92" s="47" t="n"/>
      <c r="C92" s="47" t="n"/>
      <c r="D92" s="47" t="n"/>
      <c r="E92" s="43" t="n"/>
      <c r="F92" s="52" t="n"/>
      <c r="G92" s="43" t="n"/>
      <c r="H92" s="51" t="n"/>
      <c r="I92" s="53">
        <f>IF(B92&lt;&gt;"Expected","",IF(C92="Parking Obstruction",IF(G92="Validation",Settings!$B$9,Settings!$B$8),IF(C92="Drinking",IF(G92="Validation",Settings!$B$11,Settings!$B$10),0)))</f>
        <v/>
      </c>
      <c r="J92" s="54">
        <f>IF(OR(B92&lt;&gt;"Expected",D92&lt;&gt;"Violation",H92=""),"",H92+I92+Settings!$B$5)</f>
        <v/>
      </c>
      <c r="K92" s="43" t="n"/>
      <c r="L92" s="51" t="n"/>
      <c r="M92" s="43" t="n"/>
      <c r="N92" s="54">
        <f>IF(AND(B92="Expected",D92="Violation",K92&lt;&gt;"",ISNUMBER(L92),ISNUMBER(H92)),L92-H92-I92,"")</f>
        <v/>
      </c>
      <c r="O92" s="43" t="n"/>
      <c r="P92" s="47" t="n"/>
      <c r="Q92" s="55">
        <f>IF(A92="","",IF(B92="Expected",IF(D92="Violation",IF(H92="","Needs start",IF(AND(K92&lt;&gt;"",OR(M92&lt;&gt;"Monitoring",Settings!$B$7="Yes"),ISNUMBER(L92),L92&lt;=J92),"TP","FN")),IF(AND(K92&lt;&gt;"",OR(M92&lt;&gt;"Monitoring",Settings!$B$7="Yes")),"FP","TN")),IF(P92="","Needs tag",IF(OR(P92="False alarm",P92="Unscripted – false alarm"),"FP",IF(P92="Duplicate","Duplicate",IF(P92="Late (real act)","Late","Excluded"))))))</f>
        <v/>
      </c>
      <c r="R92" s="47" t="n"/>
      <c r="S92" s="43" t="n"/>
      <c r="T92" s="43" t="n"/>
      <c r="U92" s="43" t="n"/>
      <c r="V92" s="47" t="n"/>
      <c r="W92" s="47" t="n"/>
      <c r="X92" s="52" t="n"/>
      <c r="Y92" s="43" t="n"/>
      <c r="Z92" s="55">
        <f>IF(OR(Y92="",Q92=""),"",IF(Y92=Q92,"OK","MISMATCH"))</f>
        <v/>
      </c>
      <c r="AA92" s="43" t="n"/>
    </row>
    <row r="93" ht="15" customHeight="1" s="35">
      <c r="A93" s="43" t="n"/>
      <c r="B93" s="47" t="n"/>
      <c r="C93" s="47" t="n"/>
      <c r="D93" s="47" t="n"/>
      <c r="E93" s="43" t="n"/>
      <c r="F93" s="52" t="n"/>
      <c r="G93" s="43" t="n"/>
      <c r="H93" s="51" t="n"/>
      <c r="I93" s="53">
        <f>IF(B93&lt;&gt;"Expected","",IF(C93="Parking Obstruction",IF(G93="Validation",Settings!$B$9,Settings!$B$8),IF(C93="Drinking",IF(G93="Validation",Settings!$B$11,Settings!$B$10),0)))</f>
        <v/>
      </c>
      <c r="J93" s="54">
        <f>IF(OR(B93&lt;&gt;"Expected",D93&lt;&gt;"Violation",H93=""),"",H93+I93+Settings!$B$5)</f>
        <v/>
      </c>
      <c r="K93" s="43" t="n"/>
      <c r="L93" s="51" t="n"/>
      <c r="M93" s="43" t="n"/>
      <c r="N93" s="54">
        <f>IF(AND(B93="Expected",D93="Violation",K93&lt;&gt;"",ISNUMBER(L93),ISNUMBER(H93)),L93-H93-I93,"")</f>
        <v/>
      </c>
      <c r="O93" s="43" t="n"/>
      <c r="P93" s="47" t="n"/>
      <c r="Q93" s="55">
        <f>IF(A93="","",IF(B93="Expected",IF(D93="Violation",IF(H93="","Needs start",IF(AND(K93&lt;&gt;"",OR(M93&lt;&gt;"Monitoring",Settings!$B$7="Yes"),ISNUMBER(L93),L93&lt;=J93),"TP","FN")),IF(AND(K93&lt;&gt;"",OR(M93&lt;&gt;"Monitoring",Settings!$B$7="Yes")),"FP","TN")),IF(P93="","Needs tag",IF(OR(P93="False alarm",P93="Unscripted – false alarm"),"FP",IF(P93="Duplicate","Duplicate",IF(P93="Late (real act)","Late","Excluded"))))))</f>
        <v/>
      </c>
      <c r="R93" s="47" t="n"/>
      <c r="S93" s="43" t="n"/>
      <c r="T93" s="43" t="n"/>
      <c r="U93" s="43" t="n"/>
      <c r="V93" s="47" t="n"/>
      <c r="W93" s="47" t="n"/>
      <c r="X93" s="52" t="n"/>
      <c r="Y93" s="43" t="n"/>
      <c r="Z93" s="55">
        <f>IF(OR(Y93="",Q93=""),"",IF(Y93=Q93,"OK","MISMATCH"))</f>
        <v/>
      </c>
      <c r="AA93" s="43" t="n"/>
    </row>
    <row r="94" ht="15" customHeight="1" s="35">
      <c r="A94" s="43" t="n"/>
      <c r="B94" s="47" t="n"/>
      <c r="C94" s="47" t="n"/>
      <c r="D94" s="47" t="n"/>
      <c r="E94" s="43" t="n"/>
      <c r="F94" s="52" t="n"/>
      <c r="G94" s="43" t="n"/>
      <c r="H94" s="51" t="n"/>
      <c r="I94" s="53">
        <f>IF(B94&lt;&gt;"Expected","",IF(C94="Parking Obstruction",IF(G94="Validation",Settings!$B$9,Settings!$B$8),IF(C94="Drinking",IF(G94="Validation",Settings!$B$11,Settings!$B$10),0)))</f>
        <v/>
      </c>
      <c r="J94" s="54">
        <f>IF(OR(B94&lt;&gt;"Expected",D94&lt;&gt;"Violation",H94=""),"",H94+I94+Settings!$B$5)</f>
        <v/>
      </c>
      <c r="K94" s="43" t="n"/>
      <c r="L94" s="51" t="n"/>
      <c r="M94" s="43" t="n"/>
      <c r="N94" s="54">
        <f>IF(AND(B94="Expected",D94="Violation",K94&lt;&gt;"",ISNUMBER(L94),ISNUMBER(H94)),L94-H94-I94,"")</f>
        <v/>
      </c>
      <c r="O94" s="43" t="n"/>
      <c r="P94" s="47" t="n"/>
      <c r="Q94" s="55">
        <f>IF(A94="","",IF(B94="Expected",IF(D94="Violation",IF(H94="","Needs start",IF(AND(K94&lt;&gt;"",OR(M94&lt;&gt;"Monitoring",Settings!$B$7="Yes"),ISNUMBER(L94),L94&lt;=J94),"TP","FN")),IF(AND(K94&lt;&gt;"",OR(M94&lt;&gt;"Monitoring",Settings!$B$7="Yes")),"FP","TN")),IF(P94="","Needs tag",IF(OR(P94="False alarm",P94="Unscripted – false alarm"),"FP",IF(P94="Duplicate","Duplicate",IF(P94="Late (real act)","Late","Excluded"))))))</f>
        <v/>
      </c>
      <c r="R94" s="47" t="n"/>
      <c r="S94" s="43" t="n"/>
      <c r="T94" s="43" t="n"/>
      <c r="U94" s="43" t="n"/>
      <c r="V94" s="47" t="n"/>
      <c r="W94" s="47" t="n"/>
      <c r="X94" s="52" t="n"/>
      <c r="Y94" s="43" t="n"/>
      <c r="Z94" s="55">
        <f>IF(OR(Y94="",Q94=""),"",IF(Y94=Q94,"OK","MISMATCH"))</f>
        <v/>
      </c>
      <c r="AA94" s="43" t="n"/>
    </row>
    <row r="95" ht="15" customHeight="1" s="35">
      <c r="A95" s="43" t="n"/>
      <c r="B95" s="47" t="n"/>
      <c r="C95" s="47" t="n"/>
      <c r="D95" s="47" t="n"/>
      <c r="E95" s="43" t="n"/>
      <c r="F95" s="52" t="n"/>
      <c r="G95" s="43" t="n"/>
      <c r="H95" s="51" t="n"/>
      <c r="I95" s="53">
        <f>IF(B95&lt;&gt;"Expected","",IF(C95="Parking Obstruction",IF(G95="Validation",Settings!$B$9,Settings!$B$8),IF(C95="Drinking",IF(G95="Validation",Settings!$B$11,Settings!$B$10),0)))</f>
        <v/>
      </c>
      <c r="J95" s="54">
        <f>IF(OR(B95&lt;&gt;"Expected",D95&lt;&gt;"Violation",H95=""),"",H95+I95+Settings!$B$5)</f>
        <v/>
      </c>
      <c r="K95" s="43" t="n"/>
      <c r="L95" s="51" t="n"/>
      <c r="M95" s="43" t="n"/>
      <c r="N95" s="54">
        <f>IF(AND(B95="Expected",D95="Violation",K95&lt;&gt;"",ISNUMBER(L95),ISNUMBER(H95)),L95-H95-I95,"")</f>
        <v/>
      </c>
      <c r="O95" s="43" t="n"/>
      <c r="P95" s="47" t="n"/>
      <c r="Q95" s="55">
        <f>IF(A95="","",IF(B95="Expected",IF(D95="Violation",IF(H95="","Needs start",IF(AND(K95&lt;&gt;"",OR(M95&lt;&gt;"Monitoring",Settings!$B$7="Yes"),ISNUMBER(L95),L95&lt;=J95),"TP","FN")),IF(AND(K95&lt;&gt;"",OR(M95&lt;&gt;"Monitoring",Settings!$B$7="Yes")),"FP","TN")),IF(P95="","Needs tag",IF(OR(P95="False alarm",P95="Unscripted – false alarm"),"FP",IF(P95="Duplicate","Duplicate",IF(P95="Late (real act)","Late","Excluded"))))))</f>
        <v/>
      </c>
      <c r="R95" s="47" t="n"/>
      <c r="S95" s="43" t="n"/>
      <c r="T95" s="43" t="n"/>
      <c r="U95" s="43" t="n"/>
      <c r="V95" s="47" t="n"/>
      <c r="W95" s="47" t="n"/>
      <c r="X95" s="52" t="n"/>
      <c r="Y95" s="43" t="n"/>
      <c r="Z95" s="55">
        <f>IF(OR(Y95="",Q95=""),"",IF(Y95=Q95,"OK","MISMATCH"))</f>
        <v/>
      </c>
      <c r="AA95" s="43" t="n"/>
    </row>
    <row r="96" ht="15" customHeight="1" s="35">
      <c r="A96" s="43" t="n"/>
      <c r="B96" s="47" t="n"/>
      <c r="C96" s="47" t="n"/>
      <c r="D96" s="47" t="n"/>
      <c r="E96" s="43" t="n"/>
      <c r="F96" s="52" t="n"/>
      <c r="G96" s="43" t="n"/>
      <c r="H96" s="51" t="n"/>
      <c r="I96" s="53">
        <f>IF(B96&lt;&gt;"Expected","",IF(C96="Parking Obstruction",IF(G96="Validation",Settings!$B$9,Settings!$B$8),IF(C96="Drinking",IF(G96="Validation",Settings!$B$11,Settings!$B$10),0)))</f>
        <v/>
      </c>
      <c r="J96" s="54">
        <f>IF(OR(B96&lt;&gt;"Expected",D96&lt;&gt;"Violation",H96=""),"",H96+I96+Settings!$B$5)</f>
        <v/>
      </c>
      <c r="K96" s="43" t="n"/>
      <c r="L96" s="51" t="n"/>
      <c r="M96" s="43" t="n"/>
      <c r="N96" s="54">
        <f>IF(AND(B96="Expected",D96="Violation",K96&lt;&gt;"",ISNUMBER(L96),ISNUMBER(H96)),L96-H96-I96,"")</f>
        <v/>
      </c>
      <c r="O96" s="43" t="n"/>
      <c r="P96" s="47" t="n"/>
      <c r="Q96" s="55">
        <f>IF(A96="","",IF(B96="Expected",IF(D96="Violation",IF(H96="","Needs start",IF(AND(K96&lt;&gt;"",OR(M96&lt;&gt;"Monitoring",Settings!$B$7="Yes"),ISNUMBER(L96),L96&lt;=J96),"TP","FN")),IF(AND(K96&lt;&gt;"",OR(M96&lt;&gt;"Monitoring",Settings!$B$7="Yes")),"FP","TN")),IF(P96="","Needs tag",IF(OR(P96="False alarm",P96="Unscripted – false alarm"),"FP",IF(P96="Duplicate","Duplicate",IF(P96="Late (real act)","Late","Excluded"))))))</f>
        <v/>
      </c>
      <c r="R96" s="47" t="n"/>
      <c r="S96" s="43" t="n"/>
      <c r="T96" s="43" t="n"/>
      <c r="U96" s="43" t="n"/>
      <c r="V96" s="47" t="n"/>
      <c r="W96" s="47" t="n"/>
      <c r="X96" s="52" t="n"/>
      <c r="Y96" s="43" t="n"/>
      <c r="Z96" s="55">
        <f>IF(OR(Y96="",Q96=""),"",IF(Y96=Q96,"OK","MISMATCH"))</f>
        <v/>
      </c>
      <c r="AA96" s="43" t="n"/>
    </row>
    <row r="97" ht="15" customHeight="1" s="35">
      <c r="A97" s="43" t="n"/>
      <c r="B97" s="47" t="n"/>
      <c r="C97" s="47" t="n"/>
      <c r="D97" s="47" t="n"/>
      <c r="E97" s="43" t="n"/>
      <c r="F97" s="52" t="n"/>
      <c r="G97" s="43" t="n"/>
      <c r="H97" s="51" t="n"/>
      <c r="I97" s="53">
        <f>IF(B97&lt;&gt;"Expected","",IF(C97="Parking Obstruction",IF(G97="Validation",Settings!$B$9,Settings!$B$8),IF(C97="Drinking",IF(G97="Validation",Settings!$B$11,Settings!$B$10),0)))</f>
        <v/>
      </c>
      <c r="J97" s="54">
        <f>IF(OR(B97&lt;&gt;"Expected",D97&lt;&gt;"Violation",H97=""),"",H97+I97+Settings!$B$5)</f>
        <v/>
      </c>
      <c r="K97" s="43" t="n"/>
      <c r="L97" s="51" t="n"/>
      <c r="M97" s="43" t="n"/>
      <c r="N97" s="54">
        <f>IF(AND(B97="Expected",D97="Violation",K97&lt;&gt;"",ISNUMBER(L97),ISNUMBER(H97)),L97-H97-I97,"")</f>
        <v/>
      </c>
      <c r="O97" s="43" t="n"/>
      <c r="P97" s="47" t="n"/>
      <c r="Q97" s="55">
        <f>IF(A97="","",IF(B97="Expected",IF(D97="Violation",IF(H97="","Needs start",IF(AND(K97&lt;&gt;"",OR(M97&lt;&gt;"Monitoring",Settings!$B$7="Yes"),ISNUMBER(L97),L97&lt;=J97),"TP","FN")),IF(AND(K97&lt;&gt;"",OR(M97&lt;&gt;"Monitoring",Settings!$B$7="Yes")),"FP","TN")),IF(P97="","Needs tag",IF(OR(P97="False alarm",P97="Unscripted – false alarm"),"FP",IF(P97="Duplicate","Duplicate",IF(P97="Late (real act)","Late","Excluded"))))))</f>
        <v/>
      </c>
      <c r="R97" s="47" t="n"/>
      <c r="S97" s="43" t="n"/>
      <c r="T97" s="43" t="n"/>
      <c r="U97" s="43" t="n"/>
      <c r="V97" s="47" t="n"/>
      <c r="W97" s="47" t="n"/>
      <c r="X97" s="52" t="n"/>
      <c r="Y97" s="43" t="n"/>
      <c r="Z97" s="55">
        <f>IF(OR(Y97="",Q97=""),"",IF(Y97=Q97,"OK","MISMATCH"))</f>
        <v/>
      </c>
      <c r="AA97" s="43" t="n"/>
    </row>
    <row r="98" ht="15" customHeight="1" s="35">
      <c r="A98" s="43" t="n"/>
      <c r="B98" s="47" t="n"/>
      <c r="C98" s="47" t="n"/>
      <c r="D98" s="47" t="n"/>
      <c r="E98" s="43" t="n"/>
      <c r="F98" s="52" t="n"/>
      <c r="G98" s="43" t="n"/>
      <c r="H98" s="51" t="n"/>
      <c r="I98" s="53">
        <f>IF(B98&lt;&gt;"Expected","",IF(C98="Parking Obstruction",IF(G98="Validation",Settings!$B$9,Settings!$B$8),IF(C98="Drinking",IF(G98="Validation",Settings!$B$11,Settings!$B$10),0)))</f>
        <v/>
      </c>
      <c r="J98" s="54">
        <f>IF(OR(B98&lt;&gt;"Expected",D98&lt;&gt;"Violation",H98=""),"",H98+I98+Settings!$B$5)</f>
        <v/>
      </c>
      <c r="K98" s="43" t="n"/>
      <c r="L98" s="51" t="n"/>
      <c r="M98" s="43" t="n"/>
      <c r="N98" s="54">
        <f>IF(AND(B98="Expected",D98="Violation",K98&lt;&gt;"",ISNUMBER(L98),ISNUMBER(H98)),L98-H98-I98,"")</f>
        <v/>
      </c>
      <c r="O98" s="43" t="n"/>
      <c r="P98" s="47" t="n"/>
      <c r="Q98" s="55">
        <f>IF(A98="","",IF(B98="Expected",IF(D98="Violation",IF(H98="","Needs start",IF(AND(K98&lt;&gt;"",OR(M98&lt;&gt;"Monitoring",Settings!$B$7="Yes"),ISNUMBER(L98),L98&lt;=J98),"TP","FN")),IF(AND(K98&lt;&gt;"",OR(M98&lt;&gt;"Monitoring",Settings!$B$7="Yes")),"FP","TN")),IF(P98="","Needs tag",IF(OR(P98="False alarm",P98="Unscripted – false alarm"),"FP",IF(P98="Duplicate","Duplicate",IF(P98="Late (real act)","Late","Excluded"))))))</f>
        <v/>
      </c>
      <c r="R98" s="47" t="n"/>
      <c r="S98" s="43" t="n"/>
      <c r="T98" s="43" t="n"/>
      <c r="U98" s="43" t="n"/>
      <c r="V98" s="47" t="n"/>
      <c r="W98" s="47" t="n"/>
      <c r="X98" s="52" t="n"/>
      <c r="Y98" s="43" t="n"/>
      <c r="Z98" s="55">
        <f>IF(OR(Y98="",Q98=""),"",IF(Y98=Q98,"OK","MISMATCH"))</f>
        <v/>
      </c>
      <c r="AA98" s="43" t="n"/>
    </row>
    <row r="99" ht="15" customHeight="1" s="35">
      <c r="A99" s="43" t="n"/>
      <c r="B99" s="47" t="n"/>
      <c r="C99" s="47" t="n"/>
      <c r="D99" s="47" t="n"/>
      <c r="E99" s="43" t="n"/>
      <c r="F99" s="52" t="n"/>
      <c r="G99" s="43" t="n"/>
      <c r="H99" s="51" t="n"/>
      <c r="I99" s="53">
        <f>IF(B99&lt;&gt;"Expected","",IF(C99="Parking Obstruction",IF(G99="Validation",Settings!$B$9,Settings!$B$8),IF(C99="Drinking",IF(G99="Validation",Settings!$B$11,Settings!$B$10),0)))</f>
        <v/>
      </c>
      <c r="J99" s="54">
        <f>IF(OR(B99&lt;&gt;"Expected",D99&lt;&gt;"Violation",H99=""),"",H99+I99+Settings!$B$5)</f>
        <v/>
      </c>
      <c r="K99" s="43" t="n"/>
      <c r="L99" s="51" t="n"/>
      <c r="M99" s="43" t="n"/>
      <c r="N99" s="54">
        <f>IF(AND(B99="Expected",D99="Violation",K99&lt;&gt;"",ISNUMBER(L99),ISNUMBER(H99)),L99-H99-I99,"")</f>
        <v/>
      </c>
      <c r="O99" s="43" t="n"/>
      <c r="P99" s="47" t="n"/>
      <c r="Q99" s="55">
        <f>IF(A99="","",IF(B99="Expected",IF(D99="Violation",IF(H99="","Needs start",IF(AND(K99&lt;&gt;"",OR(M99&lt;&gt;"Monitoring",Settings!$B$7="Yes"),ISNUMBER(L99),L99&lt;=J99),"TP","FN")),IF(AND(K99&lt;&gt;"",OR(M99&lt;&gt;"Monitoring",Settings!$B$7="Yes")),"FP","TN")),IF(P99="","Needs tag",IF(OR(P99="False alarm",P99="Unscripted – false alarm"),"FP",IF(P99="Duplicate","Duplicate",IF(P99="Late (real act)","Late","Excluded"))))))</f>
        <v/>
      </c>
      <c r="R99" s="47" t="n"/>
      <c r="S99" s="43" t="n"/>
      <c r="T99" s="43" t="n"/>
      <c r="U99" s="43" t="n"/>
      <c r="V99" s="47" t="n"/>
      <c r="W99" s="47" t="n"/>
      <c r="X99" s="52" t="n"/>
      <c r="Y99" s="43" t="n"/>
      <c r="Z99" s="55">
        <f>IF(OR(Y99="",Q99=""),"",IF(Y99=Q99,"OK","MISMATCH"))</f>
        <v/>
      </c>
      <c r="AA99" s="43" t="n"/>
    </row>
    <row r="100" ht="15" customHeight="1" s="35">
      <c r="A100" s="43" t="n"/>
      <c r="B100" s="47" t="n"/>
      <c r="C100" s="47" t="n"/>
      <c r="D100" s="47" t="n"/>
      <c r="E100" s="43" t="n"/>
      <c r="F100" s="52" t="n"/>
      <c r="G100" s="43" t="n"/>
      <c r="H100" s="51" t="n"/>
      <c r="I100" s="53">
        <f>IF(B100&lt;&gt;"Expected","",IF(C100="Parking Obstruction",IF(G100="Validation",Settings!$B$9,Settings!$B$8),IF(C100="Drinking",IF(G100="Validation",Settings!$B$11,Settings!$B$10),0)))</f>
        <v/>
      </c>
      <c r="J100" s="54">
        <f>IF(OR(B100&lt;&gt;"Expected",D100&lt;&gt;"Violation",H100=""),"",H100+I100+Settings!$B$5)</f>
        <v/>
      </c>
      <c r="K100" s="43" t="n"/>
      <c r="L100" s="51" t="n"/>
      <c r="M100" s="43" t="n"/>
      <c r="N100" s="54">
        <f>IF(AND(B100="Expected",D100="Violation",K100&lt;&gt;"",ISNUMBER(L100),ISNUMBER(H100)),L100-H100-I100,"")</f>
        <v/>
      </c>
      <c r="O100" s="43" t="n"/>
      <c r="P100" s="47" t="n"/>
      <c r="Q100" s="55">
        <f>IF(A100="","",IF(B100="Expected",IF(D100="Violation",IF(H100="","Needs start",IF(AND(K100&lt;&gt;"",OR(M100&lt;&gt;"Monitoring",Settings!$B$7="Yes"),ISNUMBER(L100),L100&lt;=J100),"TP","FN")),IF(AND(K100&lt;&gt;"",OR(M100&lt;&gt;"Monitoring",Settings!$B$7="Yes")),"FP","TN")),IF(P100="","Needs tag",IF(OR(P100="False alarm",P100="Unscripted – false alarm"),"FP",IF(P100="Duplicate","Duplicate",IF(P100="Late (real act)","Late","Excluded"))))))</f>
        <v/>
      </c>
      <c r="R100" s="47" t="n"/>
      <c r="S100" s="43" t="n"/>
      <c r="T100" s="43" t="n"/>
      <c r="U100" s="43" t="n"/>
      <c r="V100" s="47" t="n"/>
      <c r="W100" s="47" t="n"/>
      <c r="X100" s="52" t="n"/>
      <c r="Y100" s="43" t="n"/>
      <c r="Z100" s="55">
        <f>IF(OR(Y100="",Q100=""),"",IF(Y100=Q100,"OK","MISMATCH"))</f>
        <v/>
      </c>
      <c r="AA100" s="43" t="n"/>
    </row>
    <row r="101" ht="15" customHeight="1" s="35">
      <c r="A101" s="43" t="n"/>
      <c r="B101" s="47" t="n"/>
      <c r="C101" s="47" t="n"/>
      <c r="D101" s="47" t="n"/>
      <c r="E101" s="43" t="n"/>
      <c r="F101" s="52" t="n"/>
      <c r="G101" s="43" t="n"/>
      <c r="H101" s="51" t="n"/>
      <c r="I101" s="53">
        <f>IF(B101&lt;&gt;"Expected","",IF(C101="Parking Obstruction",IF(G101="Validation",Settings!$B$9,Settings!$B$8),IF(C101="Drinking",IF(G101="Validation",Settings!$B$11,Settings!$B$10),0)))</f>
        <v/>
      </c>
      <c r="J101" s="54">
        <f>IF(OR(B101&lt;&gt;"Expected",D101&lt;&gt;"Violation",H101=""),"",H101+I101+Settings!$B$5)</f>
        <v/>
      </c>
      <c r="K101" s="43" t="n"/>
      <c r="L101" s="51" t="n"/>
      <c r="M101" s="43" t="n"/>
      <c r="N101" s="54">
        <f>IF(AND(B101="Expected",D101="Violation",K101&lt;&gt;"",ISNUMBER(L101),ISNUMBER(H101)),L101-H101-I101,"")</f>
        <v/>
      </c>
      <c r="O101" s="43" t="n"/>
      <c r="P101" s="47" t="n"/>
      <c r="Q101" s="55">
        <f>IF(A101="","",IF(B101="Expected",IF(D101="Violation",IF(H101="","Needs start",IF(AND(K101&lt;&gt;"",OR(M101&lt;&gt;"Monitoring",Settings!$B$7="Yes"),ISNUMBER(L101),L101&lt;=J101),"TP","FN")),IF(AND(K101&lt;&gt;"",OR(M101&lt;&gt;"Monitoring",Settings!$B$7="Yes")),"FP","TN")),IF(P101="","Needs tag",IF(OR(P101="False alarm",P101="Unscripted – false alarm"),"FP",IF(P101="Duplicate","Duplicate",IF(P101="Late (real act)","Late","Excluded"))))))</f>
        <v/>
      </c>
      <c r="R101" s="47" t="n"/>
      <c r="S101" s="43" t="n"/>
      <c r="T101" s="43" t="n"/>
      <c r="U101" s="43" t="n"/>
      <c r="V101" s="47" t="n"/>
      <c r="W101" s="47" t="n"/>
      <c r="X101" s="52" t="n"/>
      <c r="Y101" s="43" t="n"/>
      <c r="Z101" s="55">
        <f>IF(OR(Y101="",Q101=""),"",IF(Y101=Q101,"OK","MISMATCH"))</f>
        <v/>
      </c>
      <c r="AA101" s="43" t="n"/>
    </row>
    <row r="102" ht="15" customHeight="1" s="35">
      <c r="A102" s="43" t="n"/>
      <c r="B102" s="47" t="n"/>
      <c r="C102" s="47" t="n"/>
      <c r="D102" s="47" t="n"/>
      <c r="E102" s="43" t="n"/>
      <c r="F102" s="52" t="n"/>
      <c r="G102" s="43" t="n"/>
      <c r="H102" s="51" t="n"/>
      <c r="I102" s="53">
        <f>IF(B102&lt;&gt;"Expected","",IF(C102="Parking Obstruction",IF(G102="Validation",Settings!$B$9,Settings!$B$8),IF(C102="Drinking",IF(G102="Validation",Settings!$B$11,Settings!$B$10),0)))</f>
        <v/>
      </c>
      <c r="J102" s="54">
        <f>IF(OR(B102&lt;&gt;"Expected",D102&lt;&gt;"Violation",H102=""),"",H102+I102+Settings!$B$5)</f>
        <v/>
      </c>
      <c r="K102" s="43" t="n"/>
      <c r="L102" s="51" t="n"/>
      <c r="M102" s="43" t="n"/>
      <c r="N102" s="54">
        <f>IF(AND(B102="Expected",D102="Violation",K102&lt;&gt;"",ISNUMBER(L102),ISNUMBER(H102)),L102-H102-I102,"")</f>
        <v/>
      </c>
      <c r="O102" s="43" t="n"/>
      <c r="P102" s="47" t="n"/>
      <c r="Q102" s="55">
        <f>IF(A102="","",IF(B102="Expected",IF(D102="Violation",IF(H102="","Needs start",IF(AND(K102&lt;&gt;"",OR(M102&lt;&gt;"Monitoring",Settings!$B$7="Yes"),ISNUMBER(L102),L102&lt;=J102),"TP","FN")),IF(AND(K102&lt;&gt;"",OR(M102&lt;&gt;"Monitoring",Settings!$B$7="Yes")),"FP","TN")),IF(P102="","Needs tag",IF(OR(P102="False alarm",P102="Unscripted – false alarm"),"FP",IF(P102="Duplicate","Duplicate",IF(P102="Late (real act)","Late","Excluded"))))))</f>
        <v/>
      </c>
      <c r="R102" s="47" t="n"/>
      <c r="S102" s="43" t="n"/>
      <c r="T102" s="43" t="n"/>
      <c r="U102" s="43" t="n"/>
      <c r="V102" s="47" t="n"/>
      <c r="W102" s="47" t="n"/>
      <c r="X102" s="52" t="n"/>
      <c r="Y102" s="43" t="n"/>
      <c r="Z102" s="55">
        <f>IF(OR(Y102="",Q102=""),"",IF(Y102=Q102,"OK","MISMATCH"))</f>
        <v/>
      </c>
      <c r="AA102" s="43" t="n"/>
    </row>
    <row r="103" ht="15" customHeight="1" s="35">
      <c r="A103" s="43" t="n"/>
      <c r="B103" s="47" t="n"/>
      <c r="C103" s="47" t="n"/>
      <c r="D103" s="47" t="n"/>
      <c r="E103" s="43" t="n"/>
      <c r="F103" s="52" t="n"/>
      <c r="G103" s="43" t="n"/>
      <c r="H103" s="51" t="n"/>
      <c r="I103" s="53">
        <f>IF(B103&lt;&gt;"Expected","",IF(C103="Parking Obstruction",IF(G103="Validation",Settings!$B$9,Settings!$B$8),IF(C103="Drinking",IF(G103="Validation",Settings!$B$11,Settings!$B$10),0)))</f>
        <v/>
      </c>
      <c r="J103" s="54">
        <f>IF(OR(B103&lt;&gt;"Expected",D103&lt;&gt;"Violation",H103=""),"",H103+I103+Settings!$B$5)</f>
        <v/>
      </c>
      <c r="K103" s="43" t="n"/>
      <c r="L103" s="51" t="n"/>
      <c r="M103" s="43" t="n"/>
      <c r="N103" s="54">
        <f>IF(AND(B103="Expected",D103="Violation",K103&lt;&gt;"",ISNUMBER(L103),ISNUMBER(H103)),L103-H103-I103,"")</f>
        <v/>
      </c>
      <c r="O103" s="43" t="n"/>
      <c r="P103" s="47" t="n"/>
      <c r="Q103" s="55">
        <f>IF(A103="","",IF(B103="Expected",IF(D103="Violation",IF(H103="","Needs start",IF(AND(K103&lt;&gt;"",OR(M103&lt;&gt;"Monitoring",Settings!$B$7="Yes"),ISNUMBER(L103),L103&lt;=J103),"TP","FN")),IF(AND(K103&lt;&gt;"",OR(M103&lt;&gt;"Monitoring",Settings!$B$7="Yes")),"FP","TN")),IF(P103="","Needs tag",IF(OR(P103="False alarm",P103="Unscripted – false alarm"),"FP",IF(P103="Duplicate","Duplicate",IF(P103="Late (real act)","Late","Excluded"))))))</f>
        <v/>
      </c>
      <c r="R103" s="47" t="n"/>
      <c r="S103" s="43" t="n"/>
      <c r="T103" s="43" t="n"/>
      <c r="U103" s="43" t="n"/>
      <c r="V103" s="47" t="n"/>
      <c r="W103" s="47" t="n"/>
      <c r="X103" s="52" t="n"/>
      <c r="Y103" s="43" t="n"/>
      <c r="Z103" s="55">
        <f>IF(OR(Y103="",Q103=""),"",IF(Y103=Q103,"OK","MISMATCH"))</f>
        <v/>
      </c>
      <c r="AA103" s="43" t="n"/>
    </row>
    <row r="104" ht="15" customHeight="1" s="35">
      <c r="A104" s="43" t="n"/>
      <c r="B104" s="47" t="n"/>
      <c r="C104" s="47" t="n"/>
      <c r="D104" s="47" t="n"/>
      <c r="E104" s="43" t="n"/>
      <c r="F104" s="52" t="n"/>
      <c r="G104" s="43" t="n"/>
      <c r="H104" s="51" t="n"/>
      <c r="I104" s="53">
        <f>IF(B104&lt;&gt;"Expected","",IF(C104="Parking Obstruction",IF(G104="Validation",Settings!$B$9,Settings!$B$8),IF(C104="Drinking",IF(G104="Validation",Settings!$B$11,Settings!$B$10),0)))</f>
        <v/>
      </c>
      <c r="J104" s="54">
        <f>IF(OR(B104&lt;&gt;"Expected",D104&lt;&gt;"Violation",H104=""),"",H104+I104+Settings!$B$5)</f>
        <v/>
      </c>
      <c r="K104" s="43" t="n"/>
      <c r="L104" s="51" t="n"/>
      <c r="M104" s="43" t="n"/>
      <c r="N104" s="54">
        <f>IF(AND(B104="Expected",D104="Violation",K104&lt;&gt;"",ISNUMBER(L104),ISNUMBER(H104)),L104-H104-I104,"")</f>
        <v/>
      </c>
      <c r="O104" s="43" t="n"/>
      <c r="P104" s="47" t="n"/>
      <c r="Q104" s="55">
        <f>IF(A104="","",IF(B104="Expected",IF(D104="Violation",IF(H104="","Needs start",IF(AND(K104&lt;&gt;"",OR(M104&lt;&gt;"Monitoring",Settings!$B$7="Yes"),ISNUMBER(L104),L104&lt;=J104),"TP","FN")),IF(AND(K104&lt;&gt;"",OR(M104&lt;&gt;"Monitoring",Settings!$B$7="Yes")),"FP","TN")),IF(P104="","Needs tag",IF(OR(P104="False alarm",P104="Unscripted – false alarm"),"FP",IF(P104="Duplicate","Duplicate",IF(P104="Late (real act)","Late","Excluded"))))))</f>
        <v/>
      </c>
      <c r="R104" s="47" t="n"/>
      <c r="S104" s="43" t="n"/>
      <c r="T104" s="43" t="n"/>
      <c r="U104" s="43" t="n"/>
      <c r="V104" s="47" t="n"/>
      <c r="W104" s="47" t="n"/>
      <c r="X104" s="52" t="n"/>
      <c r="Y104" s="43" t="n"/>
      <c r="Z104" s="55">
        <f>IF(OR(Y104="",Q104=""),"",IF(Y104=Q104,"OK","MISMATCH"))</f>
        <v/>
      </c>
      <c r="AA104" s="43" t="n"/>
    </row>
    <row r="105" ht="15" customHeight="1" s="35">
      <c r="A105" s="43" t="n"/>
      <c r="B105" s="47" t="n"/>
      <c r="C105" s="47" t="n"/>
      <c r="D105" s="47" t="n"/>
      <c r="E105" s="43" t="n"/>
      <c r="F105" s="52" t="n"/>
      <c r="G105" s="43" t="n"/>
      <c r="H105" s="51" t="n"/>
      <c r="I105" s="53">
        <f>IF(B105&lt;&gt;"Expected","",IF(C105="Parking Obstruction",IF(G105="Validation",Settings!$B$9,Settings!$B$8),IF(C105="Drinking",IF(G105="Validation",Settings!$B$11,Settings!$B$10),0)))</f>
        <v/>
      </c>
      <c r="J105" s="54">
        <f>IF(OR(B105&lt;&gt;"Expected",D105&lt;&gt;"Violation",H105=""),"",H105+I105+Settings!$B$5)</f>
        <v/>
      </c>
      <c r="K105" s="43" t="n"/>
      <c r="L105" s="51" t="n"/>
      <c r="M105" s="43" t="n"/>
      <c r="N105" s="54">
        <f>IF(AND(B105="Expected",D105="Violation",K105&lt;&gt;"",ISNUMBER(L105),ISNUMBER(H105)),L105-H105-I105,"")</f>
        <v/>
      </c>
      <c r="O105" s="43" t="n"/>
      <c r="P105" s="47" t="n"/>
      <c r="Q105" s="55">
        <f>IF(A105="","",IF(B105="Expected",IF(D105="Violation",IF(H105="","Needs start",IF(AND(K105&lt;&gt;"",OR(M105&lt;&gt;"Monitoring",Settings!$B$7="Yes"),ISNUMBER(L105),L105&lt;=J105),"TP","FN")),IF(AND(K105&lt;&gt;"",OR(M105&lt;&gt;"Monitoring",Settings!$B$7="Yes")),"FP","TN")),IF(P105="","Needs tag",IF(OR(P105="False alarm",P105="Unscripted – false alarm"),"FP",IF(P105="Duplicate","Duplicate",IF(P105="Late (real act)","Late","Excluded"))))))</f>
        <v/>
      </c>
      <c r="R105" s="47" t="n"/>
      <c r="S105" s="43" t="n"/>
      <c r="T105" s="43" t="n"/>
      <c r="U105" s="43" t="n"/>
      <c r="V105" s="47" t="n"/>
      <c r="W105" s="47" t="n"/>
      <c r="X105" s="52" t="n"/>
      <c r="Y105" s="43" t="n"/>
      <c r="Z105" s="55">
        <f>IF(OR(Y105="",Q105=""),"",IF(Y105=Q105,"OK","MISMATCH"))</f>
        <v/>
      </c>
      <c r="AA105" s="43" t="n"/>
    </row>
    <row r="106" ht="15" customHeight="1" s="35">
      <c r="A106" s="43" t="n"/>
      <c r="B106" s="47" t="n"/>
      <c r="C106" s="47" t="n"/>
      <c r="D106" s="47" t="n"/>
      <c r="E106" s="43" t="n"/>
      <c r="F106" s="52" t="n"/>
      <c r="G106" s="43" t="n"/>
      <c r="H106" s="51" t="n"/>
      <c r="I106" s="53">
        <f>IF(B106&lt;&gt;"Expected","",IF(C106="Parking Obstruction",IF(G106="Validation",Settings!$B$9,Settings!$B$8),IF(C106="Drinking",IF(G106="Validation",Settings!$B$11,Settings!$B$10),0)))</f>
        <v/>
      </c>
      <c r="J106" s="54">
        <f>IF(OR(B106&lt;&gt;"Expected",D106&lt;&gt;"Violation",H106=""),"",H106+I106+Settings!$B$5)</f>
        <v/>
      </c>
      <c r="K106" s="43" t="n"/>
      <c r="L106" s="51" t="n"/>
      <c r="M106" s="43" t="n"/>
      <c r="N106" s="54">
        <f>IF(AND(B106="Expected",D106="Violation",K106&lt;&gt;"",ISNUMBER(L106),ISNUMBER(H106)),L106-H106-I106,"")</f>
        <v/>
      </c>
      <c r="O106" s="43" t="n"/>
      <c r="P106" s="47" t="n"/>
      <c r="Q106" s="55">
        <f>IF(A106="","",IF(B106="Expected",IF(D106="Violation",IF(H106="","Needs start",IF(AND(K106&lt;&gt;"",OR(M106&lt;&gt;"Monitoring",Settings!$B$7="Yes"),ISNUMBER(L106),L106&lt;=J106),"TP","FN")),IF(AND(K106&lt;&gt;"",OR(M106&lt;&gt;"Monitoring",Settings!$B$7="Yes")),"FP","TN")),IF(P106="","Needs tag",IF(OR(P106="False alarm",P106="Unscripted – false alarm"),"FP",IF(P106="Duplicate","Duplicate",IF(P106="Late (real act)","Late","Excluded"))))))</f>
        <v/>
      </c>
      <c r="R106" s="47" t="n"/>
      <c r="S106" s="43" t="n"/>
      <c r="T106" s="43" t="n"/>
      <c r="U106" s="43" t="n"/>
      <c r="V106" s="47" t="n"/>
      <c r="W106" s="47" t="n"/>
      <c r="X106" s="52" t="n"/>
      <c r="Y106" s="43" t="n"/>
      <c r="Z106" s="55">
        <f>IF(OR(Y106="",Q106=""),"",IF(Y106=Q106,"OK","MISMATCH"))</f>
        <v/>
      </c>
      <c r="AA106" s="43" t="n"/>
    </row>
    <row r="107" ht="15" customHeight="1" s="35">
      <c r="A107" s="43" t="n"/>
      <c r="B107" s="47" t="n"/>
      <c r="C107" s="47" t="n"/>
      <c r="D107" s="47" t="n"/>
      <c r="E107" s="43" t="n"/>
      <c r="F107" s="52" t="n"/>
      <c r="G107" s="43" t="n"/>
      <c r="H107" s="51" t="n"/>
      <c r="I107" s="53">
        <f>IF(B107&lt;&gt;"Expected","",IF(C107="Parking Obstruction",IF(G107="Validation",Settings!$B$9,Settings!$B$8),IF(C107="Drinking",IF(G107="Validation",Settings!$B$11,Settings!$B$10),0)))</f>
        <v/>
      </c>
      <c r="J107" s="54">
        <f>IF(OR(B107&lt;&gt;"Expected",D107&lt;&gt;"Violation",H107=""),"",H107+I107+Settings!$B$5)</f>
        <v/>
      </c>
      <c r="K107" s="43" t="n"/>
      <c r="L107" s="51" t="n"/>
      <c r="M107" s="43" t="n"/>
      <c r="N107" s="54">
        <f>IF(AND(B107="Expected",D107="Violation",K107&lt;&gt;"",ISNUMBER(L107),ISNUMBER(H107)),L107-H107-I107,"")</f>
        <v/>
      </c>
      <c r="O107" s="43" t="n"/>
      <c r="P107" s="47" t="n"/>
      <c r="Q107" s="55">
        <f>IF(A107="","",IF(B107="Expected",IF(D107="Violation",IF(H107="","Needs start",IF(AND(K107&lt;&gt;"",OR(M107&lt;&gt;"Monitoring",Settings!$B$7="Yes"),ISNUMBER(L107),L107&lt;=J107),"TP","FN")),IF(AND(K107&lt;&gt;"",OR(M107&lt;&gt;"Monitoring",Settings!$B$7="Yes")),"FP","TN")),IF(P107="","Needs tag",IF(OR(P107="False alarm",P107="Unscripted – false alarm"),"FP",IF(P107="Duplicate","Duplicate",IF(P107="Late (real act)","Late","Excluded"))))))</f>
        <v/>
      </c>
      <c r="R107" s="47" t="n"/>
      <c r="S107" s="43" t="n"/>
      <c r="T107" s="43" t="n"/>
      <c r="U107" s="43" t="n"/>
      <c r="V107" s="47" t="n"/>
      <c r="W107" s="47" t="n"/>
      <c r="X107" s="52" t="n"/>
      <c r="Y107" s="43" t="n"/>
      <c r="Z107" s="55">
        <f>IF(OR(Y107="",Q107=""),"",IF(Y107=Q107,"OK","MISMATCH"))</f>
        <v/>
      </c>
      <c r="AA107" s="43" t="n"/>
    </row>
    <row r="108" ht="15" customHeight="1" s="35">
      <c r="A108" s="43" t="n"/>
      <c r="B108" s="47" t="n"/>
      <c r="C108" s="47" t="n"/>
      <c r="D108" s="47" t="n"/>
      <c r="E108" s="43" t="n"/>
      <c r="F108" s="52" t="n"/>
      <c r="G108" s="43" t="n"/>
      <c r="H108" s="51" t="n"/>
      <c r="I108" s="53">
        <f>IF(B108&lt;&gt;"Expected","",IF(C108="Parking Obstruction",IF(G108="Validation",Settings!$B$9,Settings!$B$8),IF(C108="Drinking",IF(G108="Validation",Settings!$B$11,Settings!$B$10),0)))</f>
        <v/>
      </c>
      <c r="J108" s="54">
        <f>IF(OR(B108&lt;&gt;"Expected",D108&lt;&gt;"Violation",H108=""),"",H108+I108+Settings!$B$5)</f>
        <v/>
      </c>
      <c r="K108" s="43" t="n"/>
      <c r="L108" s="51" t="n"/>
      <c r="M108" s="43" t="n"/>
      <c r="N108" s="54">
        <f>IF(AND(B108="Expected",D108="Violation",K108&lt;&gt;"",ISNUMBER(L108),ISNUMBER(H108)),L108-H108-I108,"")</f>
        <v/>
      </c>
      <c r="O108" s="43" t="n"/>
      <c r="P108" s="47" t="n"/>
      <c r="Q108" s="55">
        <f>IF(A108="","",IF(B108="Expected",IF(D108="Violation",IF(H108="","Needs start",IF(AND(K108&lt;&gt;"",OR(M108&lt;&gt;"Monitoring",Settings!$B$7="Yes"),ISNUMBER(L108),L108&lt;=J108),"TP","FN")),IF(AND(K108&lt;&gt;"",OR(M108&lt;&gt;"Monitoring",Settings!$B$7="Yes")),"FP","TN")),IF(P108="","Needs tag",IF(OR(P108="False alarm",P108="Unscripted – false alarm"),"FP",IF(P108="Duplicate","Duplicate",IF(P108="Late (real act)","Late","Excluded"))))))</f>
        <v/>
      </c>
      <c r="R108" s="47" t="n"/>
      <c r="S108" s="43" t="n"/>
      <c r="T108" s="43" t="n"/>
      <c r="U108" s="43" t="n"/>
      <c r="V108" s="47" t="n"/>
      <c r="W108" s="47" t="n"/>
      <c r="X108" s="52" t="n"/>
      <c r="Y108" s="43" t="n"/>
      <c r="Z108" s="55">
        <f>IF(OR(Y108="",Q108=""),"",IF(Y108=Q108,"OK","MISMATCH"))</f>
        <v/>
      </c>
      <c r="AA108" s="43" t="n"/>
    </row>
    <row r="109" ht="15" customHeight="1" s="35">
      <c r="A109" s="43" t="n"/>
      <c r="B109" s="47" t="n"/>
      <c r="C109" s="47" t="n"/>
      <c r="D109" s="47" t="n"/>
      <c r="E109" s="43" t="n"/>
      <c r="F109" s="52" t="n"/>
      <c r="G109" s="43" t="n"/>
      <c r="H109" s="51" t="n"/>
      <c r="I109" s="53">
        <f>IF(B109&lt;&gt;"Expected","",IF(C109="Parking Obstruction",IF(G109="Validation",Settings!$B$9,Settings!$B$8),IF(C109="Drinking",IF(G109="Validation",Settings!$B$11,Settings!$B$10),0)))</f>
        <v/>
      </c>
      <c r="J109" s="54">
        <f>IF(OR(B109&lt;&gt;"Expected",D109&lt;&gt;"Violation",H109=""),"",H109+I109+Settings!$B$5)</f>
        <v/>
      </c>
      <c r="K109" s="43" t="n"/>
      <c r="L109" s="51" t="n"/>
      <c r="M109" s="43" t="n"/>
      <c r="N109" s="54">
        <f>IF(AND(B109="Expected",D109="Violation",K109&lt;&gt;"",ISNUMBER(L109),ISNUMBER(H109)),L109-H109-I109,"")</f>
        <v/>
      </c>
      <c r="O109" s="43" t="n"/>
      <c r="P109" s="47" t="n"/>
      <c r="Q109" s="55">
        <f>IF(A109="","",IF(B109="Expected",IF(D109="Violation",IF(H109="","Needs start",IF(AND(K109&lt;&gt;"",OR(M109&lt;&gt;"Monitoring",Settings!$B$7="Yes"),ISNUMBER(L109),L109&lt;=J109),"TP","FN")),IF(AND(K109&lt;&gt;"",OR(M109&lt;&gt;"Monitoring",Settings!$B$7="Yes")),"FP","TN")),IF(P109="","Needs tag",IF(OR(P109="False alarm",P109="Unscripted – false alarm"),"FP",IF(P109="Duplicate","Duplicate",IF(P109="Late (real act)","Late","Excluded"))))))</f>
        <v/>
      </c>
      <c r="R109" s="47" t="n"/>
      <c r="S109" s="43" t="n"/>
      <c r="T109" s="43" t="n"/>
      <c r="U109" s="43" t="n"/>
      <c r="V109" s="47" t="n"/>
      <c r="W109" s="47" t="n"/>
      <c r="X109" s="52" t="n"/>
      <c r="Y109" s="43" t="n"/>
      <c r="Z109" s="55">
        <f>IF(OR(Y109="",Q109=""),"",IF(Y109=Q109,"OK","MISMATCH"))</f>
        <v/>
      </c>
      <c r="AA109" s="43" t="n"/>
    </row>
    <row r="110" ht="15" customHeight="1" s="35">
      <c r="A110" s="43" t="n"/>
      <c r="B110" s="47" t="n"/>
      <c r="C110" s="47" t="n"/>
      <c r="D110" s="47" t="n"/>
      <c r="E110" s="43" t="n"/>
      <c r="F110" s="52" t="n"/>
      <c r="G110" s="43" t="n"/>
      <c r="H110" s="51" t="n"/>
      <c r="I110" s="53">
        <f>IF(B110&lt;&gt;"Expected","",IF(C110="Parking Obstruction",IF(G110="Validation",Settings!$B$9,Settings!$B$8),IF(C110="Drinking",IF(G110="Validation",Settings!$B$11,Settings!$B$10),0)))</f>
        <v/>
      </c>
      <c r="J110" s="54">
        <f>IF(OR(B110&lt;&gt;"Expected",D110&lt;&gt;"Violation",H110=""),"",H110+I110+Settings!$B$5)</f>
        <v/>
      </c>
      <c r="K110" s="43" t="n"/>
      <c r="L110" s="51" t="n"/>
      <c r="M110" s="43" t="n"/>
      <c r="N110" s="54">
        <f>IF(AND(B110="Expected",D110="Violation",K110&lt;&gt;"",ISNUMBER(L110),ISNUMBER(H110)),L110-H110-I110,"")</f>
        <v/>
      </c>
      <c r="O110" s="43" t="n"/>
      <c r="P110" s="47" t="n"/>
      <c r="Q110" s="55">
        <f>IF(A110="","",IF(B110="Expected",IF(D110="Violation",IF(H110="","Needs start",IF(AND(K110&lt;&gt;"",OR(M110&lt;&gt;"Monitoring",Settings!$B$7="Yes"),ISNUMBER(L110),L110&lt;=J110),"TP","FN")),IF(AND(K110&lt;&gt;"",OR(M110&lt;&gt;"Monitoring",Settings!$B$7="Yes")),"FP","TN")),IF(P110="","Needs tag",IF(OR(P110="False alarm",P110="Unscripted – false alarm"),"FP",IF(P110="Duplicate","Duplicate",IF(P110="Late (real act)","Late","Excluded"))))))</f>
        <v/>
      </c>
      <c r="R110" s="47" t="n"/>
      <c r="S110" s="43" t="n"/>
      <c r="T110" s="43" t="n"/>
      <c r="U110" s="43" t="n"/>
      <c r="V110" s="47" t="n"/>
      <c r="W110" s="47" t="n"/>
      <c r="X110" s="52" t="n"/>
      <c r="Y110" s="43" t="n"/>
      <c r="Z110" s="55">
        <f>IF(OR(Y110="",Q110=""),"",IF(Y110=Q110,"OK","MISMATCH"))</f>
        <v/>
      </c>
      <c r="AA110" s="43" t="n"/>
    </row>
    <row r="111" ht="15" customHeight="1" s="35">
      <c r="A111" s="43" t="n"/>
      <c r="B111" s="47" t="n"/>
      <c r="C111" s="47" t="n"/>
      <c r="D111" s="47" t="n"/>
      <c r="E111" s="43" t="n"/>
      <c r="F111" s="52" t="n"/>
      <c r="G111" s="43" t="n"/>
      <c r="H111" s="51" t="n"/>
      <c r="I111" s="53">
        <f>IF(B111&lt;&gt;"Expected","",IF(C111="Parking Obstruction",IF(G111="Validation",Settings!$B$9,Settings!$B$8),IF(C111="Drinking",IF(G111="Validation",Settings!$B$11,Settings!$B$10),0)))</f>
        <v/>
      </c>
      <c r="J111" s="54">
        <f>IF(OR(B111&lt;&gt;"Expected",D111&lt;&gt;"Violation",H111=""),"",H111+I111+Settings!$B$5)</f>
        <v/>
      </c>
      <c r="K111" s="43" t="n"/>
      <c r="L111" s="51" t="n"/>
      <c r="M111" s="43" t="n"/>
      <c r="N111" s="54">
        <f>IF(AND(B111="Expected",D111="Violation",K111&lt;&gt;"",ISNUMBER(L111),ISNUMBER(H111)),L111-H111-I111,"")</f>
        <v/>
      </c>
      <c r="O111" s="43" t="n"/>
      <c r="P111" s="47" t="n"/>
      <c r="Q111" s="55">
        <f>IF(A111="","",IF(B111="Expected",IF(D111="Violation",IF(H111="","Needs start",IF(AND(K111&lt;&gt;"",OR(M111&lt;&gt;"Monitoring",Settings!$B$7="Yes"),ISNUMBER(L111),L111&lt;=J111),"TP","FN")),IF(AND(K111&lt;&gt;"",OR(M111&lt;&gt;"Monitoring",Settings!$B$7="Yes")),"FP","TN")),IF(P111="","Needs tag",IF(OR(P111="False alarm",P111="Unscripted – false alarm"),"FP",IF(P111="Duplicate","Duplicate",IF(P111="Late (real act)","Late","Excluded"))))))</f>
        <v/>
      </c>
      <c r="R111" s="47" t="n"/>
      <c r="S111" s="43" t="n"/>
      <c r="T111" s="43" t="n"/>
      <c r="U111" s="43" t="n"/>
      <c r="V111" s="47" t="n"/>
      <c r="W111" s="47" t="n"/>
      <c r="X111" s="52" t="n"/>
      <c r="Y111" s="43" t="n"/>
      <c r="Z111" s="55">
        <f>IF(OR(Y111="",Q111=""),"",IF(Y111=Q111,"OK","MISMATCH"))</f>
        <v/>
      </c>
      <c r="AA111" s="43" t="n"/>
    </row>
    <row r="112" ht="15" customHeight="1" s="35">
      <c r="A112" s="43" t="n"/>
      <c r="B112" s="47" t="n"/>
      <c r="C112" s="47" t="n"/>
      <c r="D112" s="47" t="n"/>
      <c r="E112" s="43" t="n"/>
      <c r="F112" s="52" t="n"/>
      <c r="G112" s="43" t="n"/>
      <c r="H112" s="51" t="n"/>
      <c r="I112" s="53">
        <f>IF(B112&lt;&gt;"Expected","",IF(C112="Parking Obstruction",IF(G112="Validation",Settings!$B$9,Settings!$B$8),IF(C112="Drinking",IF(G112="Validation",Settings!$B$11,Settings!$B$10),0)))</f>
        <v/>
      </c>
      <c r="J112" s="54">
        <f>IF(OR(B112&lt;&gt;"Expected",D112&lt;&gt;"Violation",H112=""),"",H112+I112+Settings!$B$5)</f>
        <v/>
      </c>
      <c r="K112" s="43" t="n"/>
      <c r="L112" s="51" t="n"/>
      <c r="M112" s="43" t="n"/>
      <c r="N112" s="54">
        <f>IF(AND(B112="Expected",D112="Violation",K112&lt;&gt;"",ISNUMBER(L112),ISNUMBER(H112)),L112-H112-I112,"")</f>
        <v/>
      </c>
      <c r="O112" s="43" t="n"/>
      <c r="P112" s="47" t="n"/>
      <c r="Q112" s="55">
        <f>IF(A112="","",IF(B112="Expected",IF(D112="Violation",IF(H112="","Needs start",IF(AND(K112&lt;&gt;"",OR(M112&lt;&gt;"Monitoring",Settings!$B$7="Yes"),ISNUMBER(L112),L112&lt;=J112),"TP","FN")),IF(AND(K112&lt;&gt;"",OR(M112&lt;&gt;"Monitoring",Settings!$B$7="Yes")),"FP","TN")),IF(P112="","Needs tag",IF(OR(P112="False alarm",P112="Unscripted – false alarm"),"FP",IF(P112="Duplicate","Duplicate",IF(P112="Late (real act)","Late","Excluded"))))))</f>
        <v/>
      </c>
      <c r="R112" s="47" t="n"/>
      <c r="S112" s="43" t="n"/>
      <c r="T112" s="43" t="n"/>
      <c r="U112" s="43" t="n"/>
      <c r="V112" s="47" t="n"/>
      <c r="W112" s="47" t="n"/>
      <c r="X112" s="52" t="n"/>
      <c r="Y112" s="43" t="n"/>
      <c r="Z112" s="55">
        <f>IF(OR(Y112="",Q112=""),"",IF(Y112=Q112,"OK","MISMATCH"))</f>
        <v/>
      </c>
      <c r="AA112" s="43" t="n"/>
    </row>
    <row r="113" ht="15" customHeight="1" s="35">
      <c r="A113" s="43" t="n"/>
      <c r="B113" s="47" t="n"/>
      <c r="C113" s="47" t="n"/>
      <c r="D113" s="47" t="n"/>
      <c r="E113" s="43" t="n"/>
      <c r="F113" s="52" t="n"/>
      <c r="G113" s="43" t="n"/>
      <c r="H113" s="51" t="n"/>
      <c r="I113" s="53">
        <f>IF(B113&lt;&gt;"Expected","",IF(C113="Parking Obstruction",IF(G113="Validation",Settings!$B$9,Settings!$B$8),IF(C113="Drinking",IF(G113="Validation",Settings!$B$11,Settings!$B$10),0)))</f>
        <v/>
      </c>
      <c r="J113" s="54">
        <f>IF(OR(B113&lt;&gt;"Expected",D113&lt;&gt;"Violation",H113=""),"",H113+I113+Settings!$B$5)</f>
        <v/>
      </c>
      <c r="K113" s="43" t="n"/>
      <c r="L113" s="51" t="n"/>
      <c r="M113" s="43" t="n"/>
      <c r="N113" s="54">
        <f>IF(AND(B113="Expected",D113="Violation",K113&lt;&gt;"",ISNUMBER(L113),ISNUMBER(H113)),L113-H113-I113,"")</f>
        <v/>
      </c>
      <c r="O113" s="43" t="n"/>
      <c r="P113" s="47" t="n"/>
      <c r="Q113" s="55">
        <f>IF(A113="","",IF(B113="Expected",IF(D113="Violation",IF(H113="","Needs start",IF(AND(K113&lt;&gt;"",OR(M113&lt;&gt;"Monitoring",Settings!$B$7="Yes"),ISNUMBER(L113),L113&lt;=J113),"TP","FN")),IF(AND(K113&lt;&gt;"",OR(M113&lt;&gt;"Monitoring",Settings!$B$7="Yes")),"FP","TN")),IF(P113="","Needs tag",IF(OR(P113="False alarm",P113="Unscripted – false alarm"),"FP",IF(P113="Duplicate","Duplicate",IF(P113="Late (real act)","Late","Excluded"))))))</f>
        <v/>
      </c>
      <c r="R113" s="47" t="n"/>
      <c r="S113" s="43" t="n"/>
      <c r="T113" s="43" t="n"/>
      <c r="U113" s="43" t="n"/>
      <c r="V113" s="47" t="n"/>
      <c r="W113" s="47" t="n"/>
      <c r="X113" s="52" t="n"/>
      <c r="Y113" s="43" t="n"/>
      <c r="Z113" s="55">
        <f>IF(OR(Y113="",Q113=""),"",IF(Y113=Q113,"OK","MISMATCH"))</f>
        <v/>
      </c>
      <c r="AA113" s="43" t="n"/>
    </row>
    <row r="114" ht="15" customHeight="1" s="35">
      <c r="A114" s="43" t="n"/>
      <c r="B114" s="47" t="n"/>
      <c r="C114" s="47" t="n"/>
      <c r="D114" s="47" t="n"/>
      <c r="E114" s="43" t="n"/>
      <c r="F114" s="52" t="n"/>
      <c r="G114" s="43" t="n"/>
      <c r="H114" s="51" t="n"/>
      <c r="I114" s="53">
        <f>IF(B114&lt;&gt;"Expected","",IF(C114="Parking Obstruction",IF(G114="Validation",Settings!$B$9,Settings!$B$8),IF(C114="Drinking",IF(G114="Validation",Settings!$B$11,Settings!$B$10),0)))</f>
        <v/>
      </c>
      <c r="J114" s="54">
        <f>IF(OR(B114&lt;&gt;"Expected",D114&lt;&gt;"Violation",H114=""),"",H114+I114+Settings!$B$5)</f>
        <v/>
      </c>
      <c r="K114" s="43" t="n"/>
      <c r="L114" s="51" t="n"/>
      <c r="M114" s="43" t="n"/>
      <c r="N114" s="54">
        <f>IF(AND(B114="Expected",D114="Violation",K114&lt;&gt;"",ISNUMBER(L114),ISNUMBER(H114)),L114-H114-I114,"")</f>
        <v/>
      </c>
      <c r="O114" s="43" t="n"/>
      <c r="P114" s="47" t="n"/>
      <c r="Q114" s="55">
        <f>IF(A114="","",IF(B114="Expected",IF(D114="Violation",IF(H114="","Needs start",IF(AND(K114&lt;&gt;"",OR(M114&lt;&gt;"Monitoring",Settings!$B$7="Yes"),ISNUMBER(L114),L114&lt;=J114),"TP","FN")),IF(AND(K114&lt;&gt;"",OR(M114&lt;&gt;"Monitoring",Settings!$B$7="Yes")),"FP","TN")),IF(P114="","Needs tag",IF(OR(P114="False alarm",P114="Unscripted – false alarm"),"FP",IF(P114="Duplicate","Duplicate",IF(P114="Late (real act)","Late","Excluded"))))))</f>
        <v/>
      </c>
      <c r="R114" s="47" t="n"/>
      <c r="S114" s="43" t="n"/>
      <c r="T114" s="43" t="n"/>
      <c r="U114" s="43" t="n"/>
      <c r="V114" s="47" t="n"/>
      <c r="W114" s="47" t="n"/>
      <c r="X114" s="52" t="n"/>
      <c r="Y114" s="43" t="n"/>
      <c r="Z114" s="55">
        <f>IF(OR(Y114="",Q114=""),"",IF(Y114=Q114,"OK","MISMATCH"))</f>
        <v/>
      </c>
      <c r="AA114" s="43" t="n"/>
    </row>
    <row r="115" ht="15" customHeight="1" s="35">
      <c r="A115" s="43" t="n"/>
      <c r="B115" s="47" t="n"/>
      <c r="C115" s="47" t="n"/>
      <c r="D115" s="47" t="n"/>
      <c r="E115" s="43" t="n"/>
      <c r="F115" s="52" t="n"/>
      <c r="G115" s="43" t="n"/>
      <c r="H115" s="51" t="n"/>
      <c r="I115" s="53">
        <f>IF(B115&lt;&gt;"Expected","",IF(C115="Parking Obstruction",IF(G115="Validation",Settings!$B$9,Settings!$B$8),IF(C115="Drinking",IF(G115="Validation",Settings!$B$11,Settings!$B$10),0)))</f>
        <v/>
      </c>
      <c r="J115" s="54">
        <f>IF(OR(B115&lt;&gt;"Expected",D115&lt;&gt;"Violation",H115=""),"",H115+I115+Settings!$B$5)</f>
        <v/>
      </c>
      <c r="K115" s="43" t="n"/>
      <c r="L115" s="51" t="n"/>
      <c r="M115" s="43" t="n"/>
      <c r="N115" s="54">
        <f>IF(AND(B115="Expected",D115="Violation",K115&lt;&gt;"",ISNUMBER(L115),ISNUMBER(H115)),L115-H115-I115,"")</f>
        <v/>
      </c>
      <c r="O115" s="43" t="n"/>
      <c r="P115" s="47" t="n"/>
      <c r="Q115" s="55">
        <f>IF(A115="","",IF(B115="Expected",IF(D115="Violation",IF(H115="","Needs start",IF(AND(K115&lt;&gt;"",OR(M115&lt;&gt;"Monitoring",Settings!$B$7="Yes"),ISNUMBER(L115),L115&lt;=J115),"TP","FN")),IF(AND(K115&lt;&gt;"",OR(M115&lt;&gt;"Monitoring",Settings!$B$7="Yes")),"FP","TN")),IF(P115="","Needs tag",IF(OR(P115="False alarm",P115="Unscripted – false alarm"),"FP",IF(P115="Duplicate","Duplicate",IF(P115="Late (real act)","Late","Excluded"))))))</f>
        <v/>
      </c>
      <c r="R115" s="47" t="n"/>
      <c r="S115" s="43" t="n"/>
      <c r="T115" s="43" t="n"/>
      <c r="U115" s="43" t="n"/>
      <c r="V115" s="47" t="n"/>
      <c r="W115" s="47" t="n"/>
      <c r="X115" s="52" t="n"/>
      <c r="Y115" s="43" t="n"/>
      <c r="Z115" s="55">
        <f>IF(OR(Y115="",Q115=""),"",IF(Y115=Q115,"OK","MISMATCH"))</f>
        <v/>
      </c>
      <c r="AA115" s="43" t="n"/>
    </row>
    <row r="116" ht="15" customHeight="1" s="35">
      <c r="A116" s="43" t="n"/>
      <c r="B116" s="47" t="n"/>
      <c r="C116" s="47" t="n"/>
      <c r="D116" s="47" t="n"/>
      <c r="E116" s="43" t="n"/>
      <c r="F116" s="52" t="n"/>
      <c r="G116" s="43" t="n"/>
      <c r="H116" s="51" t="n"/>
      <c r="I116" s="53">
        <f>IF(B116&lt;&gt;"Expected","",IF(C116="Parking Obstruction",IF(G116="Validation",Settings!$B$9,Settings!$B$8),IF(C116="Drinking",IF(G116="Validation",Settings!$B$11,Settings!$B$10),0)))</f>
        <v/>
      </c>
      <c r="J116" s="54">
        <f>IF(OR(B116&lt;&gt;"Expected",D116&lt;&gt;"Violation",H116=""),"",H116+I116+Settings!$B$5)</f>
        <v/>
      </c>
      <c r="K116" s="43" t="n"/>
      <c r="L116" s="51" t="n"/>
      <c r="M116" s="43" t="n"/>
      <c r="N116" s="54">
        <f>IF(AND(B116="Expected",D116="Violation",K116&lt;&gt;"",ISNUMBER(L116),ISNUMBER(H116)),L116-H116-I116,"")</f>
        <v/>
      </c>
      <c r="O116" s="43" t="n"/>
      <c r="P116" s="47" t="n"/>
      <c r="Q116" s="55">
        <f>IF(A116="","",IF(B116="Expected",IF(D116="Violation",IF(H116="","Needs start",IF(AND(K116&lt;&gt;"",OR(M116&lt;&gt;"Monitoring",Settings!$B$7="Yes"),ISNUMBER(L116),L116&lt;=J116),"TP","FN")),IF(AND(K116&lt;&gt;"",OR(M116&lt;&gt;"Monitoring",Settings!$B$7="Yes")),"FP","TN")),IF(P116="","Needs tag",IF(OR(P116="False alarm",P116="Unscripted – false alarm"),"FP",IF(P116="Duplicate","Duplicate",IF(P116="Late (real act)","Late","Excluded"))))))</f>
        <v/>
      </c>
      <c r="R116" s="47" t="n"/>
      <c r="S116" s="43" t="n"/>
      <c r="T116" s="43" t="n"/>
      <c r="U116" s="43" t="n"/>
      <c r="V116" s="47" t="n"/>
      <c r="W116" s="47" t="n"/>
      <c r="X116" s="52" t="n"/>
      <c r="Y116" s="43" t="n"/>
      <c r="Z116" s="55">
        <f>IF(OR(Y116="",Q116=""),"",IF(Y116=Q116,"OK","MISMATCH"))</f>
        <v/>
      </c>
      <c r="AA116" s="43" t="n"/>
    </row>
    <row r="117" ht="15" customHeight="1" s="35">
      <c r="A117" s="43" t="n"/>
      <c r="B117" s="47" t="n"/>
      <c r="C117" s="47" t="n"/>
      <c r="D117" s="47" t="n"/>
      <c r="E117" s="43" t="n"/>
      <c r="F117" s="52" t="n"/>
      <c r="G117" s="43" t="n"/>
      <c r="H117" s="51" t="n"/>
      <c r="I117" s="53">
        <f>IF(B117&lt;&gt;"Expected","",IF(C117="Parking Obstruction",IF(G117="Validation",Settings!$B$9,Settings!$B$8),IF(C117="Drinking",IF(G117="Validation",Settings!$B$11,Settings!$B$10),0)))</f>
        <v/>
      </c>
      <c r="J117" s="54">
        <f>IF(OR(B117&lt;&gt;"Expected",D117&lt;&gt;"Violation",H117=""),"",H117+I117+Settings!$B$5)</f>
        <v/>
      </c>
      <c r="K117" s="43" t="n"/>
      <c r="L117" s="51" t="n"/>
      <c r="M117" s="43" t="n"/>
      <c r="N117" s="54">
        <f>IF(AND(B117="Expected",D117="Violation",K117&lt;&gt;"",ISNUMBER(L117),ISNUMBER(H117)),L117-H117-I117,"")</f>
        <v/>
      </c>
      <c r="O117" s="43" t="n"/>
      <c r="P117" s="47" t="n"/>
      <c r="Q117" s="55">
        <f>IF(A117="","",IF(B117="Expected",IF(D117="Violation",IF(H117="","Needs start",IF(AND(K117&lt;&gt;"",OR(M117&lt;&gt;"Monitoring",Settings!$B$7="Yes"),ISNUMBER(L117),L117&lt;=J117),"TP","FN")),IF(AND(K117&lt;&gt;"",OR(M117&lt;&gt;"Monitoring",Settings!$B$7="Yes")),"FP","TN")),IF(P117="","Needs tag",IF(OR(P117="False alarm",P117="Unscripted – false alarm"),"FP",IF(P117="Duplicate","Duplicate",IF(P117="Late (real act)","Late","Excluded"))))))</f>
        <v/>
      </c>
      <c r="R117" s="47" t="n"/>
      <c r="S117" s="43" t="n"/>
      <c r="T117" s="43" t="n"/>
      <c r="U117" s="43" t="n"/>
      <c r="V117" s="47" t="n"/>
      <c r="W117" s="47" t="n"/>
      <c r="X117" s="52" t="n"/>
      <c r="Y117" s="43" t="n"/>
      <c r="Z117" s="55">
        <f>IF(OR(Y117="",Q117=""),"",IF(Y117=Q117,"OK","MISMATCH"))</f>
        <v/>
      </c>
      <c r="AA117" s="43" t="n"/>
    </row>
    <row r="118" ht="15" customHeight="1" s="35">
      <c r="A118" s="43" t="n"/>
      <c r="B118" s="47" t="n"/>
      <c r="C118" s="47" t="n"/>
      <c r="D118" s="47" t="n"/>
      <c r="E118" s="43" t="n"/>
      <c r="F118" s="52" t="n"/>
      <c r="G118" s="43" t="n"/>
      <c r="H118" s="51" t="n"/>
      <c r="I118" s="53">
        <f>IF(B118&lt;&gt;"Expected","",IF(C118="Parking Obstruction",IF(G118="Validation",Settings!$B$9,Settings!$B$8),IF(C118="Drinking",IF(G118="Validation",Settings!$B$11,Settings!$B$10),0)))</f>
        <v/>
      </c>
      <c r="J118" s="54">
        <f>IF(OR(B118&lt;&gt;"Expected",D118&lt;&gt;"Violation",H118=""),"",H118+I118+Settings!$B$5)</f>
        <v/>
      </c>
      <c r="K118" s="43" t="n"/>
      <c r="L118" s="51" t="n"/>
      <c r="M118" s="43" t="n"/>
      <c r="N118" s="54">
        <f>IF(AND(B118="Expected",D118="Violation",K118&lt;&gt;"",ISNUMBER(L118),ISNUMBER(H118)),L118-H118-I118,"")</f>
        <v/>
      </c>
      <c r="O118" s="43" t="n"/>
      <c r="P118" s="47" t="n"/>
      <c r="Q118" s="55">
        <f>IF(A118="","",IF(B118="Expected",IF(D118="Violation",IF(H118="","Needs start",IF(AND(K118&lt;&gt;"",OR(M118&lt;&gt;"Monitoring",Settings!$B$7="Yes"),ISNUMBER(L118),L118&lt;=J118),"TP","FN")),IF(AND(K118&lt;&gt;"",OR(M118&lt;&gt;"Monitoring",Settings!$B$7="Yes")),"FP","TN")),IF(P118="","Needs tag",IF(OR(P118="False alarm",P118="Unscripted – false alarm"),"FP",IF(P118="Duplicate","Duplicate",IF(P118="Late (real act)","Late","Excluded"))))))</f>
        <v/>
      </c>
      <c r="R118" s="47" t="n"/>
      <c r="S118" s="43" t="n"/>
      <c r="T118" s="43" t="n"/>
      <c r="U118" s="43" t="n"/>
      <c r="V118" s="47" t="n"/>
      <c r="W118" s="47" t="n"/>
      <c r="X118" s="52" t="n"/>
      <c r="Y118" s="43" t="n"/>
      <c r="Z118" s="55">
        <f>IF(OR(Y118="",Q118=""),"",IF(Y118=Q118,"OK","MISMATCH"))</f>
        <v/>
      </c>
      <c r="AA118" s="43" t="n"/>
    </row>
    <row r="119" ht="15" customHeight="1" s="35">
      <c r="A119" s="43" t="n"/>
      <c r="B119" s="47" t="n"/>
      <c r="C119" s="47" t="n"/>
      <c r="D119" s="47" t="n"/>
      <c r="E119" s="43" t="n"/>
      <c r="F119" s="52" t="n"/>
      <c r="G119" s="43" t="n"/>
      <c r="H119" s="51" t="n"/>
      <c r="I119" s="53">
        <f>IF(B119&lt;&gt;"Expected","",IF(C119="Parking Obstruction",IF(G119="Validation",Settings!$B$9,Settings!$B$8),IF(C119="Drinking",IF(G119="Validation",Settings!$B$11,Settings!$B$10),0)))</f>
        <v/>
      </c>
      <c r="J119" s="54">
        <f>IF(OR(B119&lt;&gt;"Expected",D119&lt;&gt;"Violation",H119=""),"",H119+I119+Settings!$B$5)</f>
        <v/>
      </c>
      <c r="K119" s="43" t="n"/>
      <c r="L119" s="51" t="n"/>
      <c r="M119" s="43" t="n"/>
      <c r="N119" s="54">
        <f>IF(AND(B119="Expected",D119="Violation",K119&lt;&gt;"",ISNUMBER(L119),ISNUMBER(H119)),L119-H119-I119,"")</f>
        <v/>
      </c>
      <c r="O119" s="43" t="n"/>
      <c r="P119" s="47" t="n"/>
      <c r="Q119" s="55">
        <f>IF(A119="","",IF(B119="Expected",IF(D119="Violation",IF(H119="","Needs start",IF(AND(K119&lt;&gt;"",OR(M119&lt;&gt;"Monitoring",Settings!$B$7="Yes"),ISNUMBER(L119),L119&lt;=J119),"TP","FN")),IF(AND(K119&lt;&gt;"",OR(M119&lt;&gt;"Monitoring",Settings!$B$7="Yes")),"FP","TN")),IF(P119="","Needs tag",IF(OR(P119="False alarm",P119="Unscripted – false alarm"),"FP",IF(P119="Duplicate","Duplicate",IF(P119="Late (real act)","Late","Excluded"))))))</f>
        <v/>
      </c>
      <c r="R119" s="47" t="n"/>
      <c r="S119" s="43" t="n"/>
      <c r="T119" s="43" t="n"/>
      <c r="U119" s="43" t="n"/>
      <c r="V119" s="47" t="n"/>
      <c r="W119" s="47" t="n"/>
      <c r="X119" s="52" t="n"/>
      <c r="Y119" s="43" t="n"/>
      <c r="Z119" s="55">
        <f>IF(OR(Y119="",Q119=""),"",IF(Y119=Q119,"OK","MISMATCH"))</f>
        <v/>
      </c>
      <c r="AA119" s="43" t="n"/>
    </row>
    <row r="120" ht="15" customHeight="1" s="35">
      <c r="A120" s="43" t="n"/>
      <c r="B120" s="47" t="n"/>
      <c r="C120" s="47" t="n"/>
      <c r="D120" s="47" t="n"/>
      <c r="E120" s="43" t="n"/>
      <c r="F120" s="52" t="n"/>
      <c r="G120" s="43" t="n"/>
      <c r="H120" s="51" t="n"/>
      <c r="I120" s="53">
        <f>IF(B120&lt;&gt;"Expected","",IF(C120="Parking Obstruction",IF(G120="Validation",Settings!$B$9,Settings!$B$8),IF(C120="Drinking",IF(G120="Validation",Settings!$B$11,Settings!$B$10),0)))</f>
        <v/>
      </c>
      <c r="J120" s="54">
        <f>IF(OR(B120&lt;&gt;"Expected",D120&lt;&gt;"Violation",H120=""),"",H120+I120+Settings!$B$5)</f>
        <v/>
      </c>
      <c r="K120" s="43" t="n"/>
      <c r="L120" s="51" t="n"/>
      <c r="M120" s="43" t="n"/>
      <c r="N120" s="54">
        <f>IF(AND(B120="Expected",D120="Violation",K120&lt;&gt;"",ISNUMBER(L120),ISNUMBER(H120)),L120-H120-I120,"")</f>
        <v/>
      </c>
      <c r="O120" s="43" t="n"/>
      <c r="P120" s="47" t="n"/>
      <c r="Q120" s="55">
        <f>IF(A120="","",IF(B120="Expected",IF(D120="Violation",IF(H120="","Needs start",IF(AND(K120&lt;&gt;"",OR(M120&lt;&gt;"Monitoring",Settings!$B$7="Yes"),ISNUMBER(L120),L120&lt;=J120),"TP","FN")),IF(AND(K120&lt;&gt;"",OR(M120&lt;&gt;"Monitoring",Settings!$B$7="Yes")),"FP","TN")),IF(P120="","Needs tag",IF(OR(P120="False alarm",P120="Unscripted – false alarm"),"FP",IF(P120="Duplicate","Duplicate",IF(P120="Late (real act)","Late","Excluded"))))))</f>
        <v/>
      </c>
      <c r="R120" s="47" t="n"/>
      <c r="S120" s="43" t="n"/>
      <c r="T120" s="43" t="n"/>
      <c r="U120" s="43" t="n"/>
      <c r="V120" s="47" t="n"/>
      <c r="W120" s="47" t="n"/>
      <c r="X120" s="52" t="n"/>
      <c r="Y120" s="43" t="n"/>
      <c r="Z120" s="55">
        <f>IF(OR(Y120="",Q120=""),"",IF(Y120=Q120,"OK","MISMATCH"))</f>
        <v/>
      </c>
      <c r="AA120" s="43" t="n"/>
    </row>
    <row r="121" ht="15" customHeight="1" s="35">
      <c r="A121" s="43" t="n"/>
      <c r="B121" s="47" t="n"/>
      <c r="C121" s="47" t="n"/>
      <c r="D121" s="47" t="n"/>
      <c r="E121" s="43" t="n"/>
      <c r="F121" s="52" t="n"/>
      <c r="G121" s="43" t="n"/>
      <c r="H121" s="51" t="n"/>
      <c r="I121" s="53">
        <f>IF(B121&lt;&gt;"Expected","",IF(C121="Parking Obstruction",IF(G121="Validation",Settings!$B$9,Settings!$B$8),IF(C121="Drinking",IF(G121="Validation",Settings!$B$11,Settings!$B$10),0)))</f>
        <v/>
      </c>
      <c r="J121" s="54">
        <f>IF(OR(B121&lt;&gt;"Expected",D121&lt;&gt;"Violation",H121=""),"",H121+I121+Settings!$B$5)</f>
        <v/>
      </c>
      <c r="K121" s="43" t="n"/>
      <c r="L121" s="51" t="n"/>
      <c r="M121" s="43" t="n"/>
      <c r="N121" s="54">
        <f>IF(AND(B121="Expected",D121="Violation",K121&lt;&gt;"",ISNUMBER(L121),ISNUMBER(H121)),L121-H121-I121,"")</f>
        <v/>
      </c>
      <c r="O121" s="43" t="n"/>
      <c r="P121" s="47" t="n"/>
      <c r="Q121" s="55">
        <f>IF(A121="","",IF(B121="Expected",IF(D121="Violation",IF(H121="","Needs start",IF(AND(K121&lt;&gt;"",OR(M121&lt;&gt;"Monitoring",Settings!$B$7="Yes"),ISNUMBER(L121),L121&lt;=J121),"TP","FN")),IF(AND(K121&lt;&gt;"",OR(M121&lt;&gt;"Monitoring",Settings!$B$7="Yes")),"FP","TN")),IF(P121="","Needs tag",IF(OR(P121="False alarm",P121="Unscripted – false alarm"),"FP",IF(P121="Duplicate","Duplicate",IF(P121="Late (real act)","Late","Excluded"))))))</f>
        <v/>
      </c>
      <c r="R121" s="47" t="n"/>
      <c r="S121" s="43" t="n"/>
      <c r="T121" s="43" t="n"/>
      <c r="U121" s="43" t="n"/>
      <c r="V121" s="47" t="n"/>
      <c r="W121" s="47" t="n"/>
      <c r="X121" s="52" t="n"/>
      <c r="Y121" s="43" t="n"/>
      <c r="Z121" s="55">
        <f>IF(OR(Y121="",Q121=""),"",IF(Y121=Q121,"OK","MISMATCH"))</f>
        <v/>
      </c>
      <c r="AA121" s="43" t="n"/>
    </row>
    <row r="122" ht="15" customHeight="1" s="35">
      <c r="A122" s="43" t="n"/>
      <c r="B122" s="47" t="n"/>
      <c r="C122" s="47" t="n"/>
      <c r="D122" s="47" t="n"/>
      <c r="E122" s="43" t="n"/>
      <c r="F122" s="52" t="n"/>
      <c r="G122" s="43" t="n"/>
      <c r="H122" s="51" t="n"/>
      <c r="I122" s="53">
        <f>IF(B122&lt;&gt;"Expected","",IF(C122="Parking Obstruction",IF(G122="Validation",Settings!$B$9,Settings!$B$8),IF(C122="Drinking",IF(G122="Validation",Settings!$B$11,Settings!$B$10),0)))</f>
        <v/>
      </c>
      <c r="J122" s="54">
        <f>IF(OR(B122&lt;&gt;"Expected",D122&lt;&gt;"Violation",H122=""),"",H122+I122+Settings!$B$5)</f>
        <v/>
      </c>
      <c r="K122" s="43" t="n"/>
      <c r="L122" s="51" t="n"/>
      <c r="M122" s="43" t="n"/>
      <c r="N122" s="54">
        <f>IF(AND(B122="Expected",D122="Violation",K122&lt;&gt;"",ISNUMBER(L122),ISNUMBER(H122)),L122-H122-I122,"")</f>
        <v/>
      </c>
      <c r="O122" s="43" t="n"/>
      <c r="P122" s="47" t="n"/>
      <c r="Q122" s="55">
        <f>IF(A122="","",IF(B122="Expected",IF(D122="Violation",IF(H122="","Needs start",IF(AND(K122&lt;&gt;"",OR(M122&lt;&gt;"Monitoring",Settings!$B$7="Yes"),ISNUMBER(L122),L122&lt;=J122),"TP","FN")),IF(AND(K122&lt;&gt;"",OR(M122&lt;&gt;"Monitoring",Settings!$B$7="Yes")),"FP","TN")),IF(P122="","Needs tag",IF(OR(P122="False alarm",P122="Unscripted – false alarm"),"FP",IF(P122="Duplicate","Duplicate",IF(P122="Late (real act)","Late","Excluded"))))))</f>
        <v/>
      </c>
      <c r="R122" s="47" t="n"/>
      <c r="S122" s="43" t="n"/>
      <c r="T122" s="43" t="n"/>
      <c r="U122" s="43" t="n"/>
      <c r="V122" s="47" t="n"/>
      <c r="W122" s="47" t="n"/>
      <c r="X122" s="52" t="n"/>
      <c r="Y122" s="43" t="n"/>
      <c r="Z122" s="55">
        <f>IF(OR(Y122="",Q122=""),"",IF(Y122=Q122,"OK","MISMATCH"))</f>
        <v/>
      </c>
      <c r="AA122" s="43" t="n"/>
    </row>
    <row r="123" ht="15" customHeight="1" s="35">
      <c r="A123" s="43" t="n"/>
      <c r="B123" s="47" t="n"/>
      <c r="C123" s="47" t="n"/>
      <c r="D123" s="47" t="n"/>
      <c r="E123" s="43" t="n"/>
      <c r="F123" s="52" t="n"/>
      <c r="G123" s="43" t="n"/>
      <c r="H123" s="51" t="n"/>
      <c r="I123" s="53">
        <f>IF(B123&lt;&gt;"Expected","",IF(C123="Parking Obstruction",IF(G123="Validation",Settings!$B$9,Settings!$B$8),IF(C123="Drinking",IF(G123="Validation",Settings!$B$11,Settings!$B$10),0)))</f>
        <v/>
      </c>
      <c r="J123" s="54">
        <f>IF(OR(B123&lt;&gt;"Expected",D123&lt;&gt;"Violation",H123=""),"",H123+I123+Settings!$B$5)</f>
        <v/>
      </c>
      <c r="K123" s="43" t="n"/>
      <c r="L123" s="51" t="n"/>
      <c r="M123" s="43" t="n"/>
      <c r="N123" s="54">
        <f>IF(AND(B123="Expected",D123="Violation",K123&lt;&gt;"",ISNUMBER(L123),ISNUMBER(H123)),L123-H123-I123,"")</f>
        <v/>
      </c>
      <c r="O123" s="43" t="n"/>
      <c r="P123" s="47" t="n"/>
      <c r="Q123" s="55">
        <f>IF(A123="","",IF(B123="Expected",IF(D123="Violation",IF(H123="","Needs start",IF(AND(K123&lt;&gt;"",OR(M123&lt;&gt;"Monitoring",Settings!$B$7="Yes"),ISNUMBER(L123),L123&lt;=J123),"TP","FN")),IF(AND(K123&lt;&gt;"",OR(M123&lt;&gt;"Monitoring",Settings!$B$7="Yes")),"FP","TN")),IF(P123="","Needs tag",IF(OR(P123="False alarm",P123="Unscripted – false alarm"),"FP",IF(P123="Duplicate","Duplicate",IF(P123="Late (real act)","Late","Excluded"))))))</f>
        <v/>
      </c>
      <c r="R123" s="47" t="n"/>
      <c r="S123" s="43" t="n"/>
      <c r="T123" s="43" t="n"/>
      <c r="U123" s="43" t="n"/>
      <c r="V123" s="47" t="n"/>
      <c r="W123" s="47" t="n"/>
      <c r="X123" s="52" t="n"/>
      <c r="Y123" s="43" t="n"/>
      <c r="Z123" s="55">
        <f>IF(OR(Y123="",Q123=""),"",IF(Y123=Q123,"OK","MISMATCH"))</f>
        <v/>
      </c>
      <c r="AA123" s="43" t="n"/>
    </row>
    <row r="124" ht="15" customHeight="1" s="35">
      <c r="A124" s="43" t="n"/>
      <c r="B124" s="47" t="n"/>
      <c r="C124" s="47" t="n"/>
      <c r="D124" s="47" t="n"/>
      <c r="E124" s="43" t="n"/>
      <c r="F124" s="52" t="n"/>
      <c r="G124" s="43" t="n"/>
      <c r="H124" s="51" t="n"/>
      <c r="I124" s="53">
        <f>IF(B124&lt;&gt;"Expected","",IF(C124="Parking Obstruction",IF(G124="Validation",Settings!$B$9,Settings!$B$8),IF(C124="Drinking",IF(G124="Validation",Settings!$B$11,Settings!$B$10),0)))</f>
        <v/>
      </c>
      <c r="J124" s="54">
        <f>IF(OR(B124&lt;&gt;"Expected",D124&lt;&gt;"Violation",H124=""),"",H124+I124+Settings!$B$5)</f>
        <v/>
      </c>
      <c r="K124" s="43" t="n"/>
      <c r="L124" s="51" t="n"/>
      <c r="M124" s="43" t="n"/>
      <c r="N124" s="54">
        <f>IF(AND(B124="Expected",D124="Violation",K124&lt;&gt;"",ISNUMBER(L124),ISNUMBER(H124)),L124-H124-I124,"")</f>
        <v/>
      </c>
      <c r="O124" s="43" t="n"/>
      <c r="P124" s="47" t="n"/>
      <c r="Q124" s="55">
        <f>IF(A124="","",IF(B124="Expected",IF(D124="Violation",IF(H124="","Needs start",IF(AND(K124&lt;&gt;"",OR(M124&lt;&gt;"Monitoring",Settings!$B$7="Yes"),ISNUMBER(L124),L124&lt;=J124),"TP","FN")),IF(AND(K124&lt;&gt;"",OR(M124&lt;&gt;"Monitoring",Settings!$B$7="Yes")),"FP","TN")),IF(P124="","Needs tag",IF(OR(P124="False alarm",P124="Unscripted – false alarm"),"FP",IF(P124="Duplicate","Duplicate",IF(P124="Late (real act)","Late","Excluded"))))))</f>
        <v/>
      </c>
      <c r="R124" s="47" t="n"/>
      <c r="S124" s="43" t="n"/>
      <c r="T124" s="43" t="n"/>
      <c r="U124" s="43" t="n"/>
      <c r="V124" s="47" t="n"/>
      <c r="W124" s="47" t="n"/>
      <c r="X124" s="52" t="n"/>
      <c r="Y124" s="43" t="n"/>
      <c r="Z124" s="55">
        <f>IF(OR(Y124="",Q124=""),"",IF(Y124=Q124,"OK","MISMATCH"))</f>
        <v/>
      </c>
      <c r="AA124" s="43" t="n"/>
    </row>
    <row r="125" ht="15" customHeight="1" s="35">
      <c r="A125" s="43" t="n"/>
      <c r="B125" s="47" t="n"/>
      <c r="C125" s="47" t="n"/>
      <c r="D125" s="47" t="n"/>
      <c r="E125" s="43" t="n"/>
      <c r="F125" s="52" t="n"/>
      <c r="G125" s="43" t="n"/>
      <c r="H125" s="51" t="n"/>
      <c r="I125" s="53">
        <f>IF(B125&lt;&gt;"Expected","",IF(C125="Parking Obstruction",IF(G125="Validation",Settings!$B$9,Settings!$B$8),IF(C125="Drinking",IF(G125="Validation",Settings!$B$11,Settings!$B$10),0)))</f>
        <v/>
      </c>
      <c r="J125" s="54">
        <f>IF(OR(B125&lt;&gt;"Expected",D125&lt;&gt;"Violation",H125=""),"",H125+I125+Settings!$B$5)</f>
        <v/>
      </c>
      <c r="K125" s="43" t="n"/>
      <c r="L125" s="51" t="n"/>
      <c r="M125" s="43" t="n"/>
      <c r="N125" s="54">
        <f>IF(AND(B125="Expected",D125="Violation",K125&lt;&gt;"",ISNUMBER(L125),ISNUMBER(H125)),L125-H125-I125,"")</f>
        <v/>
      </c>
      <c r="O125" s="43" t="n"/>
      <c r="P125" s="47" t="n"/>
      <c r="Q125" s="55">
        <f>IF(A125="","",IF(B125="Expected",IF(D125="Violation",IF(H125="","Needs start",IF(AND(K125&lt;&gt;"",OR(M125&lt;&gt;"Monitoring",Settings!$B$7="Yes"),ISNUMBER(L125),L125&lt;=J125),"TP","FN")),IF(AND(K125&lt;&gt;"",OR(M125&lt;&gt;"Monitoring",Settings!$B$7="Yes")),"FP","TN")),IF(P125="","Needs tag",IF(OR(P125="False alarm",P125="Unscripted – false alarm"),"FP",IF(P125="Duplicate","Duplicate",IF(P125="Late (real act)","Late","Excluded"))))))</f>
        <v/>
      </c>
      <c r="R125" s="47" t="n"/>
      <c r="S125" s="43" t="n"/>
      <c r="T125" s="43" t="n"/>
      <c r="U125" s="43" t="n"/>
      <c r="V125" s="47" t="n"/>
      <c r="W125" s="47" t="n"/>
      <c r="X125" s="52" t="n"/>
      <c r="Y125" s="43" t="n"/>
      <c r="Z125" s="55">
        <f>IF(OR(Y125="",Q125=""),"",IF(Y125=Q125,"OK","MISMATCH"))</f>
        <v/>
      </c>
      <c r="AA125" s="43" t="n"/>
    </row>
    <row r="126" ht="15" customHeight="1" s="35">
      <c r="A126" s="43" t="n"/>
      <c r="B126" s="47" t="n"/>
      <c r="C126" s="47" t="n"/>
      <c r="D126" s="47" t="n"/>
      <c r="E126" s="43" t="n"/>
      <c r="F126" s="52" t="n"/>
      <c r="G126" s="43" t="n"/>
      <c r="H126" s="51" t="n"/>
      <c r="I126" s="53">
        <f>IF(B126&lt;&gt;"Expected","",IF(C126="Parking Obstruction",IF(G126="Validation",Settings!$B$9,Settings!$B$8),IF(C126="Drinking",IF(G126="Validation",Settings!$B$11,Settings!$B$10),0)))</f>
        <v/>
      </c>
      <c r="J126" s="54">
        <f>IF(OR(B126&lt;&gt;"Expected",D126&lt;&gt;"Violation",H126=""),"",H126+I126+Settings!$B$5)</f>
        <v/>
      </c>
      <c r="K126" s="43" t="n"/>
      <c r="L126" s="51" t="n"/>
      <c r="M126" s="43" t="n"/>
      <c r="N126" s="54">
        <f>IF(AND(B126="Expected",D126="Violation",K126&lt;&gt;"",ISNUMBER(L126),ISNUMBER(H126)),L126-H126-I126,"")</f>
        <v/>
      </c>
      <c r="O126" s="43" t="n"/>
      <c r="P126" s="47" t="n"/>
      <c r="Q126" s="55">
        <f>IF(A126="","",IF(B126="Expected",IF(D126="Violation",IF(H126="","Needs start",IF(AND(K126&lt;&gt;"",OR(M126&lt;&gt;"Monitoring",Settings!$B$7="Yes"),ISNUMBER(L126),L126&lt;=J126),"TP","FN")),IF(AND(K126&lt;&gt;"",OR(M126&lt;&gt;"Monitoring",Settings!$B$7="Yes")),"FP","TN")),IF(P126="","Needs tag",IF(OR(P126="False alarm",P126="Unscripted – false alarm"),"FP",IF(P126="Duplicate","Duplicate",IF(P126="Late (real act)","Late","Excluded"))))))</f>
        <v/>
      </c>
      <c r="R126" s="47" t="n"/>
      <c r="S126" s="43" t="n"/>
      <c r="T126" s="43" t="n"/>
      <c r="U126" s="43" t="n"/>
      <c r="V126" s="47" t="n"/>
      <c r="W126" s="47" t="n"/>
      <c r="X126" s="52" t="n"/>
      <c r="Y126" s="43" t="n"/>
      <c r="Z126" s="55">
        <f>IF(OR(Y126="",Q126=""),"",IF(Y126=Q126,"OK","MISMATCH"))</f>
        <v/>
      </c>
      <c r="AA126" s="43" t="n"/>
    </row>
    <row r="127" ht="15" customHeight="1" s="35">
      <c r="A127" s="43" t="n"/>
      <c r="B127" s="47" t="n"/>
      <c r="C127" s="47" t="n"/>
      <c r="D127" s="47" t="n"/>
      <c r="E127" s="43" t="n"/>
      <c r="F127" s="52" t="n"/>
      <c r="G127" s="43" t="n"/>
      <c r="H127" s="51" t="n"/>
      <c r="I127" s="53">
        <f>IF(B127&lt;&gt;"Expected","",IF(C127="Parking Obstruction",IF(G127="Validation",Settings!$B$9,Settings!$B$8),IF(C127="Drinking",IF(G127="Validation",Settings!$B$11,Settings!$B$10),0)))</f>
        <v/>
      </c>
      <c r="J127" s="54">
        <f>IF(OR(B127&lt;&gt;"Expected",D127&lt;&gt;"Violation",H127=""),"",H127+I127+Settings!$B$5)</f>
        <v/>
      </c>
      <c r="K127" s="43" t="n"/>
      <c r="L127" s="51" t="n"/>
      <c r="M127" s="43" t="n"/>
      <c r="N127" s="54">
        <f>IF(AND(B127="Expected",D127="Violation",K127&lt;&gt;"",ISNUMBER(L127),ISNUMBER(H127)),L127-H127-I127,"")</f>
        <v/>
      </c>
      <c r="O127" s="43" t="n"/>
      <c r="P127" s="47" t="n"/>
      <c r="Q127" s="55">
        <f>IF(A127="","",IF(B127="Expected",IF(D127="Violation",IF(H127="","Needs start",IF(AND(K127&lt;&gt;"",OR(M127&lt;&gt;"Monitoring",Settings!$B$7="Yes"),ISNUMBER(L127),L127&lt;=J127),"TP","FN")),IF(AND(K127&lt;&gt;"",OR(M127&lt;&gt;"Monitoring",Settings!$B$7="Yes")),"FP","TN")),IF(P127="","Needs tag",IF(OR(P127="False alarm",P127="Unscripted – false alarm"),"FP",IF(P127="Duplicate","Duplicate",IF(P127="Late (real act)","Late","Excluded"))))))</f>
        <v/>
      </c>
      <c r="R127" s="47" t="n"/>
      <c r="S127" s="43" t="n"/>
      <c r="T127" s="43" t="n"/>
      <c r="U127" s="43" t="n"/>
      <c r="V127" s="47" t="n"/>
      <c r="W127" s="47" t="n"/>
      <c r="X127" s="52" t="n"/>
      <c r="Y127" s="43" t="n"/>
      <c r="Z127" s="55">
        <f>IF(OR(Y127="",Q127=""),"",IF(Y127=Q127,"OK","MISMATCH"))</f>
        <v/>
      </c>
      <c r="AA127" s="43" t="n"/>
    </row>
    <row r="128" ht="15" customHeight="1" s="35">
      <c r="A128" s="43" t="n"/>
      <c r="B128" s="47" t="n"/>
      <c r="C128" s="47" t="n"/>
      <c r="D128" s="47" t="n"/>
      <c r="E128" s="43" t="n"/>
      <c r="F128" s="52" t="n"/>
      <c r="G128" s="43" t="n"/>
      <c r="H128" s="51" t="n"/>
      <c r="I128" s="53">
        <f>IF(B128&lt;&gt;"Expected","",IF(C128="Parking Obstruction",IF(G128="Validation",Settings!$B$9,Settings!$B$8),IF(C128="Drinking",IF(G128="Validation",Settings!$B$11,Settings!$B$10),0)))</f>
        <v/>
      </c>
      <c r="J128" s="54">
        <f>IF(OR(B128&lt;&gt;"Expected",D128&lt;&gt;"Violation",H128=""),"",H128+I128+Settings!$B$5)</f>
        <v/>
      </c>
      <c r="K128" s="43" t="n"/>
      <c r="L128" s="51" t="n"/>
      <c r="M128" s="43" t="n"/>
      <c r="N128" s="54">
        <f>IF(AND(B128="Expected",D128="Violation",K128&lt;&gt;"",ISNUMBER(L128),ISNUMBER(H128)),L128-H128-I128,"")</f>
        <v/>
      </c>
      <c r="O128" s="43" t="n"/>
      <c r="P128" s="47" t="n"/>
      <c r="Q128" s="55">
        <f>IF(A128="","",IF(B128="Expected",IF(D128="Violation",IF(H128="","Needs start",IF(AND(K128&lt;&gt;"",OR(M128&lt;&gt;"Monitoring",Settings!$B$7="Yes"),ISNUMBER(L128),L128&lt;=J128),"TP","FN")),IF(AND(K128&lt;&gt;"",OR(M128&lt;&gt;"Monitoring",Settings!$B$7="Yes")),"FP","TN")),IF(P128="","Needs tag",IF(OR(P128="False alarm",P128="Unscripted – false alarm"),"FP",IF(P128="Duplicate","Duplicate",IF(P128="Late (real act)","Late","Excluded"))))))</f>
        <v/>
      </c>
      <c r="R128" s="47" t="n"/>
      <c r="S128" s="43" t="n"/>
      <c r="T128" s="43" t="n"/>
      <c r="U128" s="43" t="n"/>
      <c r="V128" s="47" t="n"/>
      <c r="W128" s="47" t="n"/>
      <c r="X128" s="52" t="n"/>
      <c r="Y128" s="43" t="n"/>
      <c r="Z128" s="55">
        <f>IF(OR(Y128="",Q128=""),"",IF(Y128=Q128,"OK","MISMATCH"))</f>
        <v/>
      </c>
      <c r="AA128" s="43" t="n"/>
    </row>
    <row r="129" ht="15" customHeight="1" s="35">
      <c r="A129" s="43" t="n"/>
      <c r="B129" s="47" t="n"/>
      <c r="C129" s="47" t="n"/>
      <c r="D129" s="47" t="n"/>
      <c r="E129" s="43" t="n"/>
      <c r="F129" s="52" t="n"/>
      <c r="G129" s="43" t="n"/>
      <c r="H129" s="51" t="n"/>
      <c r="I129" s="53">
        <f>IF(B129&lt;&gt;"Expected","",IF(C129="Parking Obstruction",IF(G129="Validation",Settings!$B$9,Settings!$B$8),IF(C129="Drinking",IF(G129="Validation",Settings!$B$11,Settings!$B$10),0)))</f>
        <v/>
      </c>
      <c r="J129" s="54">
        <f>IF(OR(B129&lt;&gt;"Expected",D129&lt;&gt;"Violation",H129=""),"",H129+I129+Settings!$B$5)</f>
        <v/>
      </c>
      <c r="K129" s="43" t="n"/>
      <c r="L129" s="51" t="n"/>
      <c r="M129" s="43" t="n"/>
      <c r="N129" s="54">
        <f>IF(AND(B129="Expected",D129="Violation",K129&lt;&gt;"",ISNUMBER(L129),ISNUMBER(H129)),L129-H129-I129,"")</f>
        <v/>
      </c>
      <c r="O129" s="43" t="n"/>
      <c r="P129" s="47" t="n"/>
      <c r="Q129" s="55">
        <f>IF(A129="","",IF(B129="Expected",IF(D129="Violation",IF(H129="","Needs start",IF(AND(K129&lt;&gt;"",OR(M129&lt;&gt;"Monitoring",Settings!$B$7="Yes"),ISNUMBER(L129),L129&lt;=J129),"TP","FN")),IF(AND(K129&lt;&gt;"",OR(M129&lt;&gt;"Monitoring",Settings!$B$7="Yes")),"FP","TN")),IF(P129="","Needs tag",IF(OR(P129="False alarm",P129="Unscripted – false alarm"),"FP",IF(P129="Duplicate","Duplicate",IF(P129="Late (real act)","Late","Excluded"))))))</f>
        <v/>
      </c>
      <c r="R129" s="47" t="n"/>
      <c r="S129" s="43" t="n"/>
      <c r="T129" s="43" t="n"/>
      <c r="U129" s="43" t="n"/>
      <c r="V129" s="47" t="n"/>
      <c r="W129" s="47" t="n"/>
      <c r="X129" s="52" t="n"/>
      <c r="Y129" s="43" t="n"/>
      <c r="Z129" s="55">
        <f>IF(OR(Y129="",Q129=""),"",IF(Y129=Q129,"OK","MISMATCH"))</f>
        <v/>
      </c>
      <c r="AA129" s="43" t="n"/>
    </row>
    <row r="130" ht="15" customHeight="1" s="35">
      <c r="A130" s="43" t="n"/>
      <c r="B130" s="47" t="n"/>
      <c r="C130" s="47" t="n"/>
      <c r="D130" s="47" t="n"/>
      <c r="E130" s="43" t="n"/>
      <c r="F130" s="52" t="n"/>
      <c r="G130" s="43" t="n"/>
      <c r="H130" s="51" t="n"/>
      <c r="I130" s="53">
        <f>IF(B130&lt;&gt;"Expected","",IF(C130="Parking Obstruction",IF(G130="Validation",Settings!$B$9,Settings!$B$8),IF(C130="Drinking",IF(G130="Validation",Settings!$B$11,Settings!$B$10),0)))</f>
        <v/>
      </c>
      <c r="J130" s="54">
        <f>IF(OR(B130&lt;&gt;"Expected",D130&lt;&gt;"Violation",H130=""),"",H130+I130+Settings!$B$5)</f>
        <v/>
      </c>
      <c r="K130" s="43" t="n"/>
      <c r="L130" s="51" t="n"/>
      <c r="M130" s="43" t="n"/>
      <c r="N130" s="54">
        <f>IF(AND(B130="Expected",D130="Violation",K130&lt;&gt;"",ISNUMBER(L130),ISNUMBER(H130)),L130-H130-I130,"")</f>
        <v/>
      </c>
      <c r="O130" s="43" t="n"/>
      <c r="P130" s="47" t="n"/>
      <c r="Q130" s="55">
        <f>IF(A130="","",IF(B130="Expected",IF(D130="Violation",IF(H130="","Needs start",IF(AND(K130&lt;&gt;"",OR(M130&lt;&gt;"Monitoring",Settings!$B$7="Yes"),ISNUMBER(L130),L130&lt;=J130),"TP","FN")),IF(AND(K130&lt;&gt;"",OR(M130&lt;&gt;"Monitoring",Settings!$B$7="Yes")),"FP","TN")),IF(P130="","Needs tag",IF(OR(P130="False alarm",P130="Unscripted – false alarm"),"FP",IF(P130="Duplicate","Duplicate",IF(P130="Late (real act)","Late","Excluded"))))))</f>
        <v/>
      </c>
      <c r="R130" s="47" t="n"/>
      <c r="S130" s="43" t="n"/>
      <c r="T130" s="43" t="n"/>
      <c r="U130" s="43" t="n"/>
      <c r="V130" s="47" t="n"/>
      <c r="W130" s="47" t="n"/>
      <c r="X130" s="52" t="n"/>
      <c r="Y130" s="43" t="n"/>
      <c r="Z130" s="55">
        <f>IF(OR(Y130="",Q130=""),"",IF(Y130=Q130,"OK","MISMATCH"))</f>
        <v/>
      </c>
      <c r="AA130" s="43" t="n"/>
    </row>
    <row r="131" ht="15" customHeight="1" s="35">
      <c r="A131" s="43" t="n"/>
      <c r="B131" s="47" t="n"/>
      <c r="C131" s="47" t="n"/>
      <c r="D131" s="47" t="n"/>
      <c r="E131" s="43" t="n"/>
      <c r="F131" s="52" t="n"/>
      <c r="G131" s="43" t="n"/>
      <c r="H131" s="51" t="n"/>
      <c r="I131" s="53">
        <f>IF(B131&lt;&gt;"Expected","",IF(C131="Parking Obstruction",IF(G131="Validation",Settings!$B$9,Settings!$B$8),IF(C131="Drinking",IF(G131="Validation",Settings!$B$11,Settings!$B$10),0)))</f>
        <v/>
      </c>
      <c r="J131" s="54">
        <f>IF(OR(B131&lt;&gt;"Expected",D131&lt;&gt;"Violation",H131=""),"",H131+I131+Settings!$B$5)</f>
        <v/>
      </c>
      <c r="K131" s="43" t="n"/>
      <c r="L131" s="51" t="n"/>
      <c r="M131" s="43" t="n"/>
      <c r="N131" s="54">
        <f>IF(AND(B131="Expected",D131="Violation",K131&lt;&gt;"",ISNUMBER(L131),ISNUMBER(H131)),L131-H131-I131,"")</f>
        <v/>
      </c>
      <c r="O131" s="43" t="n"/>
      <c r="P131" s="47" t="n"/>
      <c r="Q131" s="55">
        <f>IF(A131="","",IF(B131="Expected",IF(D131="Violation",IF(H131="","Needs start",IF(AND(K131&lt;&gt;"",OR(M131&lt;&gt;"Monitoring",Settings!$B$7="Yes"),ISNUMBER(L131),L131&lt;=J131),"TP","FN")),IF(AND(K131&lt;&gt;"",OR(M131&lt;&gt;"Monitoring",Settings!$B$7="Yes")),"FP","TN")),IF(P131="","Needs tag",IF(OR(P131="False alarm",P131="Unscripted – false alarm"),"FP",IF(P131="Duplicate","Duplicate",IF(P131="Late (real act)","Late","Excluded"))))))</f>
        <v/>
      </c>
      <c r="R131" s="47" t="n"/>
      <c r="S131" s="43" t="n"/>
      <c r="T131" s="43" t="n"/>
      <c r="U131" s="43" t="n"/>
      <c r="V131" s="47" t="n"/>
      <c r="W131" s="47" t="n"/>
      <c r="X131" s="52" t="n"/>
      <c r="Y131" s="43" t="n"/>
      <c r="Z131" s="55">
        <f>IF(OR(Y131="",Q131=""),"",IF(Y131=Q131,"OK","MISMATCH"))</f>
        <v/>
      </c>
      <c r="AA131" s="43" t="n"/>
    </row>
    <row r="132" ht="15" customHeight="1" s="35">
      <c r="A132" s="43" t="n"/>
      <c r="B132" s="47" t="n"/>
      <c r="C132" s="47" t="n"/>
      <c r="D132" s="47" t="n"/>
      <c r="E132" s="43" t="n"/>
      <c r="F132" s="52" t="n"/>
      <c r="G132" s="43" t="n"/>
      <c r="H132" s="51" t="n"/>
      <c r="I132" s="53">
        <f>IF(B132&lt;&gt;"Expected","",IF(C132="Parking Obstruction",IF(G132="Validation",Settings!$B$9,Settings!$B$8),IF(C132="Drinking",IF(G132="Validation",Settings!$B$11,Settings!$B$10),0)))</f>
        <v/>
      </c>
      <c r="J132" s="54">
        <f>IF(OR(B132&lt;&gt;"Expected",D132&lt;&gt;"Violation",H132=""),"",H132+I132+Settings!$B$5)</f>
        <v/>
      </c>
      <c r="K132" s="43" t="n"/>
      <c r="L132" s="51" t="n"/>
      <c r="M132" s="43" t="n"/>
      <c r="N132" s="54">
        <f>IF(AND(B132="Expected",D132="Violation",K132&lt;&gt;"",ISNUMBER(L132),ISNUMBER(H132)),L132-H132-I132,"")</f>
        <v/>
      </c>
      <c r="O132" s="43" t="n"/>
      <c r="P132" s="47" t="n"/>
      <c r="Q132" s="55">
        <f>IF(A132="","",IF(B132="Expected",IF(D132="Violation",IF(H132="","Needs start",IF(AND(K132&lt;&gt;"",OR(M132&lt;&gt;"Monitoring",Settings!$B$7="Yes"),ISNUMBER(L132),L132&lt;=J132),"TP","FN")),IF(AND(K132&lt;&gt;"",OR(M132&lt;&gt;"Monitoring",Settings!$B$7="Yes")),"FP","TN")),IF(P132="","Needs tag",IF(OR(P132="False alarm",P132="Unscripted – false alarm"),"FP",IF(P132="Duplicate","Duplicate",IF(P132="Late (real act)","Late","Excluded"))))))</f>
        <v/>
      </c>
      <c r="R132" s="47" t="n"/>
      <c r="S132" s="43" t="n"/>
      <c r="T132" s="43" t="n"/>
      <c r="U132" s="43" t="n"/>
      <c r="V132" s="47" t="n"/>
      <c r="W132" s="47" t="n"/>
      <c r="X132" s="52" t="n"/>
      <c r="Y132" s="43" t="n"/>
      <c r="Z132" s="55">
        <f>IF(OR(Y132="",Q132=""),"",IF(Y132=Q132,"OK","MISMATCH"))</f>
        <v/>
      </c>
      <c r="AA132" s="43" t="n"/>
    </row>
    <row r="133" ht="15" customHeight="1" s="35">
      <c r="A133" s="43" t="n"/>
      <c r="B133" s="47" t="n"/>
      <c r="C133" s="47" t="n"/>
      <c r="D133" s="47" t="n"/>
      <c r="E133" s="43" t="n"/>
      <c r="F133" s="52" t="n"/>
      <c r="G133" s="43" t="n"/>
      <c r="H133" s="51" t="n"/>
      <c r="I133" s="53">
        <f>IF(B133&lt;&gt;"Expected","",IF(C133="Parking Obstruction",IF(G133="Validation",Settings!$B$9,Settings!$B$8),IF(C133="Drinking",IF(G133="Validation",Settings!$B$11,Settings!$B$10),0)))</f>
        <v/>
      </c>
      <c r="J133" s="54">
        <f>IF(OR(B133&lt;&gt;"Expected",D133&lt;&gt;"Violation",H133=""),"",H133+I133+Settings!$B$5)</f>
        <v/>
      </c>
      <c r="K133" s="43" t="n"/>
      <c r="L133" s="51" t="n"/>
      <c r="M133" s="43" t="n"/>
      <c r="N133" s="54">
        <f>IF(AND(B133="Expected",D133="Violation",K133&lt;&gt;"",ISNUMBER(L133),ISNUMBER(H133)),L133-H133-I133,"")</f>
        <v/>
      </c>
      <c r="O133" s="43" t="n"/>
      <c r="P133" s="47" t="n"/>
      <c r="Q133" s="55">
        <f>IF(A133="","",IF(B133="Expected",IF(D133="Violation",IF(H133="","Needs start",IF(AND(K133&lt;&gt;"",OR(M133&lt;&gt;"Monitoring",Settings!$B$7="Yes"),ISNUMBER(L133),L133&lt;=J133),"TP","FN")),IF(AND(K133&lt;&gt;"",OR(M133&lt;&gt;"Monitoring",Settings!$B$7="Yes")),"FP","TN")),IF(P133="","Needs tag",IF(OR(P133="False alarm",P133="Unscripted – false alarm"),"FP",IF(P133="Duplicate","Duplicate",IF(P133="Late (real act)","Late","Excluded"))))))</f>
        <v/>
      </c>
      <c r="R133" s="47" t="n"/>
      <c r="S133" s="43" t="n"/>
      <c r="T133" s="43" t="n"/>
      <c r="U133" s="43" t="n"/>
      <c r="V133" s="47" t="n"/>
      <c r="W133" s="47" t="n"/>
      <c r="X133" s="52" t="n"/>
      <c r="Y133" s="43" t="n"/>
      <c r="Z133" s="55">
        <f>IF(OR(Y133="",Q133=""),"",IF(Y133=Q133,"OK","MISMATCH"))</f>
        <v/>
      </c>
      <c r="AA133" s="43" t="n"/>
    </row>
    <row r="134" ht="15" customHeight="1" s="35">
      <c r="A134" s="43" t="n"/>
      <c r="B134" s="47" t="n"/>
      <c r="C134" s="47" t="n"/>
      <c r="D134" s="47" t="n"/>
      <c r="E134" s="43" t="n"/>
      <c r="F134" s="52" t="n"/>
      <c r="G134" s="43" t="n"/>
      <c r="H134" s="51" t="n"/>
      <c r="I134" s="53">
        <f>IF(B134&lt;&gt;"Expected","",IF(C134="Parking Obstruction",IF(G134="Validation",Settings!$B$9,Settings!$B$8),IF(C134="Drinking",IF(G134="Validation",Settings!$B$11,Settings!$B$10),0)))</f>
        <v/>
      </c>
      <c r="J134" s="54">
        <f>IF(OR(B134&lt;&gt;"Expected",D134&lt;&gt;"Violation",H134=""),"",H134+I134+Settings!$B$5)</f>
        <v/>
      </c>
      <c r="K134" s="43" t="n"/>
      <c r="L134" s="51" t="n"/>
      <c r="M134" s="43" t="n"/>
      <c r="N134" s="54">
        <f>IF(AND(B134="Expected",D134="Violation",K134&lt;&gt;"",ISNUMBER(L134),ISNUMBER(H134)),L134-H134-I134,"")</f>
        <v/>
      </c>
      <c r="O134" s="43" t="n"/>
      <c r="P134" s="47" t="n"/>
      <c r="Q134" s="55">
        <f>IF(A134="","",IF(B134="Expected",IF(D134="Violation",IF(H134="","Needs start",IF(AND(K134&lt;&gt;"",OR(M134&lt;&gt;"Monitoring",Settings!$B$7="Yes"),ISNUMBER(L134),L134&lt;=J134),"TP","FN")),IF(AND(K134&lt;&gt;"",OR(M134&lt;&gt;"Monitoring",Settings!$B$7="Yes")),"FP","TN")),IF(P134="","Needs tag",IF(OR(P134="False alarm",P134="Unscripted – false alarm"),"FP",IF(P134="Duplicate","Duplicate",IF(P134="Late (real act)","Late","Excluded"))))))</f>
        <v/>
      </c>
      <c r="R134" s="47" t="n"/>
      <c r="S134" s="43" t="n"/>
      <c r="T134" s="43" t="n"/>
      <c r="U134" s="43" t="n"/>
      <c r="V134" s="47" t="n"/>
      <c r="W134" s="47" t="n"/>
      <c r="X134" s="52" t="n"/>
      <c r="Y134" s="43" t="n"/>
      <c r="Z134" s="55">
        <f>IF(OR(Y134="",Q134=""),"",IF(Y134=Q134,"OK","MISMATCH"))</f>
        <v/>
      </c>
      <c r="AA134" s="43" t="n"/>
    </row>
    <row r="135" ht="15" customHeight="1" s="35">
      <c r="A135" s="43" t="n"/>
      <c r="B135" s="47" t="n"/>
      <c r="C135" s="47" t="n"/>
      <c r="D135" s="47" t="n"/>
      <c r="E135" s="43" t="n"/>
      <c r="F135" s="52" t="n"/>
      <c r="G135" s="43" t="n"/>
      <c r="H135" s="51" t="n"/>
      <c r="I135" s="53">
        <f>IF(B135&lt;&gt;"Expected","",IF(C135="Parking Obstruction",IF(G135="Validation",Settings!$B$9,Settings!$B$8),IF(C135="Drinking",IF(G135="Validation",Settings!$B$11,Settings!$B$10),0)))</f>
        <v/>
      </c>
      <c r="J135" s="54">
        <f>IF(OR(B135&lt;&gt;"Expected",D135&lt;&gt;"Violation",H135=""),"",H135+I135+Settings!$B$5)</f>
        <v/>
      </c>
      <c r="K135" s="43" t="n"/>
      <c r="L135" s="51" t="n"/>
      <c r="M135" s="43" t="n"/>
      <c r="N135" s="54">
        <f>IF(AND(B135="Expected",D135="Violation",K135&lt;&gt;"",ISNUMBER(L135),ISNUMBER(H135)),L135-H135-I135,"")</f>
        <v/>
      </c>
      <c r="O135" s="43" t="n"/>
      <c r="P135" s="47" t="n"/>
      <c r="Q135" s="55">
        <f>IF(A135="","",IF(B135="Expected",IF(D135="Violation",IF(H135="","Needs start",IF(AND(K135&lt;&gt;"",OR(M135&lt;&gt;"Monitoring",Settings!$B$7="Yes"),ISNUMBER(L135),L135&lt;=J135),"TP","FN")),IF(AND(K135&lt;&gt;"",OR(M135&lt;&gt;"Monitoring",Settings!$B$7="Yes")),"FP","TN")),IF(P135="","Needs tag",IF(OR(P135="False alarm",P135="Unscripted – false alarm"),"FP",IF(P135="Duplicate","Duplicate",IF(P135="Late (real act)","Late","Excluded"))))))</f>
        <v/>
      </c>
      <c r="R135" s="47" t="n"/>
      <c r="S135" s="43" t="n"/>
      <c r="T135" s="43" t="n"/>
      <c r="U135" s="43" t="n"/>
      <c r="V135" s="47" t="n"/>
      <c r="W135" s="47" t="n"/>
      <c r="X135" s="52" t="n"/>
      <c r="Y135" s="43" t="n"/>
      <c r="Z135" s="55">
        <f>IF(OR(Y135="",Q135=""),"",IF(Y135=Q135,"OK","MISMATCH"))</f>
        <v/>
      </c>
      <c r="AA135" s="43" t="n"/>
    </row>
    <row r="136" ht="15" customHeight="1" s="35">
      <c r="A136" s="43" t="n"/>
      <c r="B136" s="47" t="n"/>
      <c r="C136" s="47" t="n"/>
      <c r="D136" s="47" t="n"/>
      <c r="E136" s="43" t="n"/>
      <c r="F136" s="52" t="n"/>
      <c r="G136" s="43" t="n"/>
      <c r="H136" s="51" t="n"/>
      <c r="I136" s="53">
        <f>IF(B136&lt;&gt;"Expected","",IF(C136="Parking Obstruction",IF(G136="Validation",Settings!$B$9,Settings!$B$8),IF(C136="Drinking",IF(G136="Validation",Settings!$B$11,Settings!$B$10),0)))</f>
        <v/>
      </c>
      <c r="J136" s="54">
        <f>IF(OR(B136&lt;&gt;"Expected",D136&lt;&gt;"Violation",H136=""),"",H136+I136+Settings!$B$5)</f>
        <v/>
      </c>
      <c r="K136" s="43" t="n"/>
      <c r="L136" s="51" t="n"/>
      <c r="M136" s="43" t="n"/>
      <c r="N136" s="54">
        <f>IF(AND(B136="Expected",D136="Violation",K136&lt;&gt;"",ISNUMBER(L136),ISNUMBER(H136)),L136-H136-I136,"")</f>
        <v/>
      </c>
      <c r="O136" s="43" t="n"/>
      <c r="P136" s="47" t="n"/>
      <c r="Q136" s="55">
        <f>IF(A136="","",IF(B136="Expected",IF(D136="Violation",IF(H136="","Needs start",IF(AND(K136&lt;&gt;"",OR(M136&lt;&gt;"Monitoring",Settings!$B$7="Yes"),ISNUMBER(L136),L136&lt;=J136),"TP","FN")),IF(AND(K136&lt;&gt;"",OR(M136&lt;&gt;"Monitoring",Settings!$B$7="Yes")),"FP","TN")),IF(P136="","Needs tag",IF(OR(P136="False alarm",P136="Unscripted – false alarm"),"FP",IF(P136="Duplicate","Duplicate",IF(P136="Late (real act)","Late","Excluded"))))))</f>
        <v/>
      </c>
      <c r="R136" s="47" t="n"/>
      <c r="S136" s="43" t="n"/>
      <c r="T136" s="43" t="n"/>
      <c r="U136" s="43" t="n"/>
      <c r="V136" s="47" t="n"/>
      <c r="W136" s="47" t="n"/>
      <c r="X136" s="52" t="n"/>
      <c r="Y136" s="43" t="n"/>
      <c r="Z136" s="55">
        <f>IF(OR(Y136="",Q136=""),"",IF(Y136=Q136,"OK","MISMATCH"))</f>
        <v/>
      </c>
      <c r="AA136" s="43" t="n"/>
    </row>
    <row r="137" ht="15" customHeight="1" s="35">
      <c r="A137" s="43" t="n"/>
      <c r="B137" s="47" t="n"/>
      <c r="C137" s="47" t="n"/>
      <c r="D137" s="47" t="n"/>
      <c r="E137" s="43" t="n"/>
      <c r="F137" s="52" t="n"/>
      <c r="G137" s="43" t="n"/>
      <c r="H137" s="51" t="n"/>
      <c r="I137" s="53">
        <f>IF(B137&lt;&gt;"Expected","",IF(C137="Parking Obstruction",IF(G137="Validation",Settings!$B$9,Settings!$B$8),IF(C137="Drinking",IF(G137="Validation",Settings!$B$11,Settings!$B$10),0)))</f>
        <v/>
      </c>
      <c r="J137" s="54">
        <f>IF(OR(B137&lt;&gt;"Expected",D137&lt;&gt;"Violation",H137=""),"",H137+I137+Settings!$B$5)</f>
        <v/>
      </c>
      <c r="K137" s="43" t="n"/>
      <c r="L137" s="51" t="n"/>
      <c r="M137" s="43" t="n"/>
      <c r="N137" s="54">
        <f>IF(AND(B137="Expected",D137="Violation",K137&lt;&gt;"",ISNUMBER(L137),ISNUMBER(H137)),L137-H137-I137,"")</f>
        <v/>
      </c>
      <c r="O137" s="43" t="n"/>
      <c r="P137" s="47" t="n"/>
      <c r="Q137" s="55">
        <f>IF(A137="","",IF(B137="Expected",IF(D137="Violation",IF(H137="","Needs start",IF(AND(K137&lt;&gt;"",OR(M137&lt;&gt;"Monitoring",Settings!$B$7="Yes"),ISNUMBER(L137),L137&lt;=J137),"TP","FN")),IF(AND(K137&lt;&gt;"",OR(M137&lt;&gt;"Monitoring",Settings!$B$7="Yes")),"FP","TN")),IF(P137="","Needs tag",IF(OR(P137="False alarm",P137="Unscripted – false alarm"),"FP",IF(P137="Duplicate","Duplicate",IF(P137="Late (real act)","Late","Excluded"))))))</f>
        <v/>
      </c>
      <c r="R137" s="47" t="n"/>
      <c r="S137" s="43" t="n"/>
      <c r="T137" s="43" t="n"/>
      <c r="U137" s="43" t="n"/>
      <c r="V137" s="47" t="n"/>
      <c r="W137" s="47" t="n"/>
      <c r="X137" s="52" t="n"/>
      <c r="Y137" s="43" t="n"/>
      <c r="Z137" s="55">
        <f>IF(OR(Y137="",Q137=""),"",IF(Y137=Q137,"OK","MISMATCH"))</f>
        <v/>
      </c>
      <c r="AA137" s="43" t="n"/>
    </row>
    <row r="138" ht="15" customHeight="1" s="35">
      <c r="A138" s="43" t="n"/>
      <c r="B138" s="47" t="n"/>
      <c r="C138" s="47" t="n"/>
      <c r="D138" s="47" t="n"/>
      <c r="E138" s="43" t="n"/>
      <c r="F138" s="52" t="n"/>
      <c r="G138" s="43" t="n"/>
      <c r="H138" s="51" t="n"/>
      <c r="I138" s="53">
        <f>IF(B138&lt;&gt;"Expected","",IF(C138="Parking Obstruction",IF(G138="Validation",Settings!$B$9,Settings!$B$8),IF(C138="Drinking",IF(G138="Validation",Settings!$B$11,Settings!$B$10),0)))</f>
        <v/>
      </c>
      <c r="J138" s="54">
        <f>IF(OR(B138&lt;&gt;"Expected",D138&lt;&gt;"Violation",H138=""),"",H138+I138+Settings!$B$5)</f>
        <v/>
      </c>
      <c r="K138" s="43" t="n"/>
      <c r="L138" s="51" t="n"/>
      <c r="M138" s="43" t="n"/>
      <c r="N138" s="54">
        <f>IF(AND(B138="Expected",D138="Violation",K138&lt;&gt;"",ISNUMBER(L138),ISNUMBER(H138)),L138-H138-I138,"")</f>
        <v/>
      </c>
      <c r="O138" s="43" t="n"/>
      <c r="P138" s="47" t="n"/>
      <c r="Q138" s="55">
        <f>IF(A138="","",IF(B138="Expected",IF(D138="Violation",IF(H138="","Needs start",IF(AND(K138&lt;&gt;"",OR(M138&lt;&gt;"Monitoring",Settings!$B$7="Yes"),ISNUMBER(L138),L138&lt;=J138),"TP","FN")),IF(AND(K138&lt;&gt;"",OR(M138&lt;&gt;"Monitoring",Settings!$B$7="Yes")),"FP","TN")),IF(P138="","Needs tag",IF(OR(P138="False alarm",P138="Unscripted – false alarm"),"FP",IF(P138="Duplicate","Duplicate",IF(P138="Late (real act)","Late","Excluded"))))))</f>
        <v/>
      </c>
      <c r="R138" s="47" t="n"/>
      <c r="S138" s="43" t="n"/>
      <c r="T138" s="43" t="n"/>
      <c r="U138" s="43" t="n"/>
      <c r="V138" s="47" t="n"/>
      <c r="W138" s="47" t="n"/>
      <c r="X138" s="52" t="n"/>
      <c r="Y138" s="43" t="n"/>
      <c r="Z138" s="55">
        <f>IF(OR(Y138="",Q138=""),"",IF(Y138=Q138,"OK","MISMATCH"))</f>
        <v/>
      </c>
      <c r="AA138" s="43" t="n"/>
    </row>
    <row r="139" ht="15" customHeight="1" s="35">
      <c r="A139" s="43" t="n"/>
      <c r="B139" s="47" t="n"/>
      <c r="C139" s="47" t="n"/>
      <c r="D139" s="47" t="n"/>
      <c r="E139" s="43" t="n"/>
      <c r="F139" s="52" t="n"/>
      <c r="G139" s="43" t="n"/>
      <c r="H139" s="51" t="n"/>
      <c r="I139" s="53">
        <f>IF(B139&lt;&gt;"Expected","",IF(C139="Parking Obstruction",IF(G139="Validation",Settings!$B$9,Settings!$B$8),IF(C139="Drinking",IF(G139="Validation",Settings!$B$11,Settings!$B$10),0)))</f>
        <v/>
      </c>
      <c r="J139" s="54">
        <f>IF(OR(B139&lt;&gt;"Expected",D139&lt;&gt;"Violation",H139=""),"",H139+I139+Settings!$B$5)</f>
        <v/>
      </c>
      <c r="K139" s="43" t="n"/>
      <c r="L139" s="51" t="n"/>
      <c r="M139" s="43" t="n"/>
      <c r="N139" s="54">
        <f>IF(AND(B139="Expected",D139="Violation",K139&lt;&gt;"",ISNUMBER(L139),ISNUMBER(H139)),L139-H139-I139,"")</f>
        <v/>
      </c>
      <c r="O139" s="43" t="n"/>
      <c r="P139" s="47" t="n"/>
      <c r="Q139" s="55">
        <f>IF(A139="","",IF(B139="Expected",IF(D139="Violation",IF(H139="","Needs start",IF(AND(K139&lt;&gt;"",OR(M139&lt;&gt;"Monitoring",Settings!$B$7="Yes"),ISNUMBER(L139),L139&lt;=J139),"TP","FN")),IF(AND(K139&lt;&gt;"",OR(M139&lt;&gt;"Monitoring",Settings!$B$7="Yes")),"FP","TN")),IF(P139="","Needs tag",IF(OR(P139="False alarm",P139="Unscripted – false alarm"),"FP",IF(P139="Duplicate","Duplicate",IF(P139="Late (real act)","Late","Excluded"))))))</f>
        <v/>
      </c>
      <c r="R139" s="47" t="n"/>
      <c r="S139" s="43" t="n"/>
      <c r="T139" s="43" t="n"/>
      <c r="U139" s="43" t="n"/>
      <c r="V139" s="47" t="n"/>
      <c r="W139" s="47" t="n"/>
      <c r="X139" s="52" t="n"/>
      <c r="Y139" s="43" t="n"/>
      <c r="Z139" s="55">
        <f>IF(OR(Y139="",Q139=""),"",IF(Y139=Q139,"OK","MISMATCH"))</f>
        <v/>
      </c>
      <c r="AA139" s="43" t="n"/>
    </row>
    <row r="140" ht="15" customHeight="1" s="35">
      <c r="A140" s="43" t="n"/>
      <c r="B140" s="47" t="n"/>
      <c r="C140" s="47" t="n"/>
      <c r="D140" s="47" t="n"/>
      <c r="E140" s="43" t="n"/>
      <c r="F140" s="52" t="n"/>
      <c r="G140" s="43" t="n"/>
      <c r="H140" s="51" t="n"/>
      <c r="I140" s="53">
        <f>IF(B140&lt;&gt;"Expected","",IF(C140="Parking Obstruction",IF(G140="Validation",Settings!$B$9,Settings!$B$8),IF(C140="Drinking",IF(G140="Validation",Settings!$B$11,Settings!$B$10),0)))</f>
        <v/>
      </c>
      <c r="J140" s="54">
        <f>IF(OR(B140&lt;&gt;"Expected",D140&lt;&gt;"Violation",H140=""),"",H140+I140+Settings!$B$5)</f>
        <v/>
      </c>
      <c r="K140" s="43" t="n"/>
      <c r="L140" s="51" t="n"/>
      <c r="M140" s="43" t="n"/>
      <c r="N140" s="54">
        <f>IF(AND(B140="Expected",D140="Violation",K140&lt;&gt;"",ISNUMBER(L140),ISNUMBER(H140)),L140-H140-I140,"")</f>
        <v/>
      </c>
      <c r="O140" s="43" t="n"/>
      <c r="P140" s="47" t="n"/>
      <c r="Q140" s="55">
        <f>IF(A140="","",IF(B140="Expected",IF(D140="Violation",IF(H140="","Needs start",IF(AND(K140&lt;&gt;"",OR(M140&lt;&gt;"Monitoring",Settings!$B$7="Yes"),ISNUMBER(L140),L140&lt;=J140),"TP","FN")),IF(AND(K140&lt;&gt;"",OR(M140&lt;&gt;"Monitoring",Settings!$B$7="Yes")),"FP","TN")),IF(P140="","Needs tag",IF(OR(P140="False alarm",P140="Unscripted – false alarm"),"FP",IF(P140="Duplicate","Duplicate",IF(P140="Late (real act)","Late","Excluded"))))))</f>
        <v/>
      </c>
      <c r="R140" s="47" t="n"/>
      <c r="S140" s="43" t="n"/>
      <c r="T140" s="43" t="n"/>
      <c r="U140" s="43" t="n"/>
      <c r="V140" s="47" t="n"/>
      <c r="W140" s="47" t="n"/>
      <c r="X140" s="52" t="n"/>
      <c r="Y140" s="43" t="n"/>
      <c r="Z140" s="55">
        <f>IF(OR(Y140="",Q140=""),"",IF(Y140=Q140,"OK","MISMATCH"))</f>
        <v/>
      </c>
      <c r="AA140" s="43" t="n"/>
    </row>
    <row r="141" ht="15" customHeight="1" s="35">
      <c r="A141" s="43" t="n"/>
      <c r="B141" s="47" t="n"/>
      <c r="C141" s="47" t="n"/>
      <c r="D141" s="47" t="n"/>
      <c r="E141" s="43" t="n"/>
      <c r="F141" s="52" t="n"/>
      <c r="G141" s="43" t="n"/>
      <c r="H141" s="51" t="n"/>
      <c r="I141" s="53">
        <f>IF(B141&lt;&gt;"Expected","",IF(C141="Parking Obstruction",IF(G141="Validation",Settings!$B$9,Settings!$B$8),IF(C141="Drinking",IF(G141="Validation",Settings!$B$11,Settings!$B$10),0)))</f>
        <v/>
      </c>
      <c r="J141" s="54">
        <f>IF(OR(B141&lt;&gt;"Expected",D141&lt;&gt;"Violation",H141=""),"",H141+I141+Settings!$B$5)</f>
        <v/>
      </c>
      <c r="K141" s="43" t="n"/>
      <c r="L141" s="51" t="n"/>
      <c r="M141" s="43" t="n"/>
      <c r="N141" s="54">
        <f>IF(AND(B141="Expected",D141="Violation",K141&lt;&gt;"",ISNUMBER(L141),ISNUMBER(H141)),L141-H141-I141,"")</f>
        <v/>
      </c>
      <c r="O141" s="43" t="n"/>
      <c r="P141" s="47" t="n"/>
      <c r="Q141" s="55">
        <f>IF(A141="","",IF(B141="Expected",IF(D141="Violation",IF(H141="","Needs start",IF(AND(K141&lt;&gt;"",OR(M141&lt;&gt;"Monitoring",Settings!$B$7="Yes"),ISNUMBER(L141),L141&lt;=J141),"TP","FN")),IF(AND(K141&lt;&gt;"",OR(M141&lt;&gt;"Monitoring",Settings!$B$7="Yes")),"FP","TN")),IF(P141="","Needs tag",IF(OR(P141="False alarm",P141="Unscripted – false alarm"),"FP",IF(P141="Duplicate","Duplicate",IF(P141="Late (real act)","Late","Excluded"))))))</f>
        <v/>
      </c>
      <c r="R141" s="47" t="n"/>
      <c r="S141" s="43" t="n"/>
      <c r="T141" s="43" t="n"/>
      <c r="U141" s="43" t="n"/>
      <c r="V141" s="47" t="n"/>
      <c r="W141" s="47" t="n"/>
      <c r="X141" s="52" t="n"/>
      <c r="Y141" s="43" t="n"/>
      <c r="Z141" s="55">
        <f>IF(OR(Y141="",Q141=""),"",IF(Y141=Q141,"OK","MISMATCH"))</f>
        <v/>
      </c>
      <c r="AA141" s="43" t="n"/>
    </row>
    <row r="142" ht="15" customHeight="1" s="35">
      <c r="A142" s="43" t="n"/>
      <c r="B142" s="47" t="n"/>
      <c r="C142" s="47" t="n"/>
      <c r="D142" s="47" t="n"/>
      <c r="E142" s="43" t="n"/>
      <c r="F142" s="52" t="n"/>
      <c r="G142" s="43" t="n"/>
      <c r="H142" s="51" t="n"/>
      <c r="I142" s="53">
        <f>IF(B142&lt;&gt;"Expected","",IF(C142="Parking Obstruction",IF(G142="Validation",Settings!$B$9,Settings!$B$8),IF(C142="Drinking",IF(G142="Validation",Settings!$B$11,Settings!$B$10),0)))</f>
        <v/>
      </c>
      <c r="J142" s="54">
        <f>IF(OR(B142&lt;&gt;"Expected",D142&lt;&gt;"Violation",H142=""),"",H142+I142+Settings!$B$5)</f>
        <v/>
      </c>
      <c r="K142" s="43" t="n"/>
      <c r="L142" s="51" t="n"/>
      <c r="M142" s="43" t="n"/>
      <c r="N142" s="54">
        <f>IF(AND(B142="Expected",D142="Violation",K142&lt;&gt;"",ISNUMBER(L142),ISNUMBER(H142)),L142-H142-I142,"")</f>
        <v/>
      </c>
      <c r="O142" s="43" t="n"/>
      <c r="P142" s="47" t="n"/>
      <c r="Q142" s="55">
        <f>IF(A142="","",IF(B142="Expected",IF(D142="Violation",IF(H142="","Needs start",IF(AND(K142&lt;&gt;"",OR(M142&lt;&gt;"Monitoring",Settings!$B$7="Yes"),ISNUMBER(L142),L142&lt;=J142),"TP","FN")),IF(AND(K142&lt;&gt;"",OR(M142&lt;&gt;"Monitoring",Settings!$B$7="Yes")),"FP","TN")),IF(P142="","Needs tag",IF(OR(P142="False alarm",P142="Unscripted – false alarm"),"FP",IF(P142="Duplicate","Duplicate",IF(P142="Late (real act)","Late","Excluded"))))))</f>
        <v/>
      </c>
      <c r="R142" s="47" t="n"/>
      <c r="S142" s="43" t="n"/>
      <c r="T142" s="43" t="n"/>
      <c r="U142" s="43" t="n"/>
      <c r="V142" s="47" t="n"/>
      <c r="W142" s="47" t="n"/>
      <c r="X142" s="52" t="n"/>
      <c r="Y142" s="43" t="n"/>
      <c r="Z142" s="55">
        <f>IF(OR(Y142="",Q142=""),"",IF(Y142=Q142,"OK","MISMATCH"))</f>
        <v/>
      </c>
      <c r="AA142" s="43" t="n"/>
    </row>
    <row r="143" ht="15" customHeight="1" s="35">
      <c r="A143" s="43" t="n"/>
      <c r="B143" s="47" t="n"/>
      <c r="C143" s="47" t="n"/>
      <c r="D143" s="47" t="n"/>
      <c r="E143" s="43" t="n"/>
      <c r="F143" s="52" t="n"/>
      <c r="G143" s="43" t="n"/>
      <c r="H143" s="51" t="n"/>
      <c r="I143" s="53">
        <f>IF(B143&lt;&gt;"Expected","",IF(C143="Parking Obstruction",IF(G143="Validation",Settings!$B$9,Settings!$B$8),IF(C143="Drinking",IF(G143="Validation",Settings!$B$11,Settings!$B$10),0)))</f>
        <v/>
      </c>
      <c r="J143" s="54">
        <f>IF(OR(B143&lt;&gt;"Expected",D143&lt;&gt;"Violation",H143=""),"",H143+I143+Settings!$B$5)</f>
        <v/>
      </c>
      <c r="K143" s="43" t="n"/>
      <c r="L143" s="51" t="n"/>
      <c r="M143" s="43" t="n"/>
      <c r="N143" s="54">
        <f>IF(AND(B143="Expected",D143="Violation",K143&lt;&gt;"",ISNUMBER(L143),ISNUMBER(H143)),L143-H143-I143,"")</f>
        <v/>
      </c>
      <c r="O143" s="43" t="n"/>
      <c r="P143" s="47" t="n"/>
      <c r="Q143" s="55">
        <f>IF(A143="","",IF(B143="Expected",IF(D143="Violation",IF(H143="","Needs start",IF(AND(K143&lt;&gt;"",OR(M143&lt;&gt;"Monitoring",Settings!$B$7="Yes"),ISNUMBER(L143),L143&lt;=J143),"TP","FN")),IF(AND(K143&lt;&gt;"",OR(M143&lt;&gt;"Monitoring",Settings!$B$7="Yes")),"FP","TN")),IF(P143="","Needs tag",IF(OR(P143="False alarm",P143="Unscripted – false alarm"),"FP",IF(P143="Duplicate","Duplicate",IF(P143="Late (real act)","Late","Excluded"))))))</f>
        <v/>
      </c>
      <c r="R143" s="47" t="n"/>
      <c r="S143" s="43" t="n"/>
      <c r="T143" s="43" t="n"/>
      <c r="U143" s="43" t="n"/>
      <c r="V143" s="47" t="n"/>
      <c r="W143" s="47" t="n"/>
      <c r="X143" s="52" t="n"/>
      <c r="Y143" s="43" t="n"/>
      <c r="Z143" s="55">
        <f>IF(OR(Y143="",Q143=""),"",IF(Y143=Q143,"OK","MISMATCH"))</f>
        <v/>
      </c>
      <c r="AA143" s="43" t="n"/>
    </row>
    <row r="144" ht="15" customHeight="1" s="35">
      <c r="A144" s="43" t="n"/>
      <c r="B144" s="47" t="n"/>
      <c r="C144" s="47" t="n"/>
      <c r="D144" s="47" t="n"/>
      <c r="E144" s="43" t="n"/>
      <c r="F144" s="52" t="n"/>
      <c r="G144" s="43" t="n"/>
      <c r="H144" s="51" t="n"/>
      <c r="I144" s="53">
        <f>IF(B144&lt;&gt;"Expected","",IF(C144="Parking Obstruction",IF(G144="Validation",Settings!$B$9,Settings!$B$8),IF(C144="Drinking",IF(G144="Validation",Settings!$B$11,Settings!$B$10),0)))</f>
        <v/>
      </c>
      <c r="J144" s="54">
        <f>IF(OR(B144&lt;&gt;"Expected",D144&lt;&gt;"Violation",H144=""),"",H144+I144+Settings!$B$5)</f>
        <v/>
      </c>
      <c r="K144" s="43" t="n"/>
      <c r="L144" s="51" t="n"/>
      <c r="M144" s="43" t="n"/>
      <c r="N144" s="54">
        <f>IF(AND(B144="Expected",D144="Violation",K144&lt;&gt;"",ISNUMBER(L144),ISNUMBER(H144)),L144-H144-I144,"")</f>
        <v/>
      </c>
      <c r="O144" s="43" t="n"/>
      <c r="P144" s="47" t="n"/>
      <c r="Q144" s="55">
        <f>IF(A144="","",IF(B144="Expected",IF(D144="Violation",IF(H144="","Needs start",IF(AND(K144&lt;&gt;"",OR(M144&lt;&gt;"Monitoring",Settings!$B$7="Yes"),ISNUMBER(L144),L144&lt;=J144),"TP","FN")),IF(AND(K144&lt;&gt;"",OR(M144&lt;&gt;"Monitoring",Settings!$B$7="Yes")),"FP","TN")),IF(P144="","Needs tag",IF(OR(P144="False alarm",P144="Unscripted – false alarm"),"FP",IF(P144="Duplicate","Duplicate",IF(P144="Late (real act)","Late","Excluded"))))))</f>
        <v/>
      </c>
      <c r="R144" s="47" t="n"/>
      <c r="S144" s="43" t="n"/>
      <c r="T144" s="43" t="n"/>
      <c r="U144" s="43" t="n"/>
      <c r="V144" s="47" t="n"/>
      <c r="W144" s="47" t="n"/>
      <c r="X144" s="52" t="n"/>
      <c r="Y144" s="43" t="n"/>
      <c r="Z144" s="55">
        <f>IF(OR(Y144="",Q144=""),"",IF(Y144=Q144,"OK","MISMATCH"))</f>
        <v/>
      </c>
      <c r="AA144" s="43" t="n"/>
    </row>
    <row r="145" ht="15" customHeight="1" s="35">
      <c r="A145" s="43" t="n"/>
      <c r="B145" s="47" t="n"/>
      <c r="C145" s="47" t="n"/>
      <c r="D145" s="47" t="n"/>
      <c r="E145" s="43" t="n"/>
      <c r="F145" s="52" t="n"/>
      <c r="G145" s="43" t="n"/>
      <c r="H145" s="51" t="n"/>
      <c r="I145" s="53">
        <f>IF(B145&lt;&gt;"Expected","",IF(C145="Parking Obstruction",IF(G145="Validation",Settings!$B$9,Settings!$B$8),IF(C145="Drinking",IF(G145="Validation",Settings!$B$11,Settings!$B$10),0)))</f>
        <v/>
      </c>
      <c r="J145" s="54">
        <f>IF(OR(B145&lt;&gt;"Expected",D145&lt;&gt;"Violation",H145=""),"",H145+I145+Settings!$B$5)</f>
        <v/>
      </c>
      <c r="K145" s="43" t="n"/>
      <c r="L145" s="51" t="n"/>
      <c r="M145" s="43" t="n"/>
      <c r="N145" s="54">
        <f>IF(AND(B145="Expected",D145="Violation",K145&lt;&gt;"",ISNUMBER(L145),ISNUMBER(H145)),L145-H145-I145,"")</f>
        <v/>
      </c>
      <c r="O145" s="43" t="n"/>
      <c r="P145" s="47" t="n"/>
      <c r="Q145" s="55">
        <f>IF(A145="","",IF(B145="Expected",IF(D145="Violation",IF(H145="","Needs start",IF(AND(K145&lt;&gt;"",OR(M145&lt;&gt;"Monitoring",Settings!$B$7="Yes"),ISNUMBER(L145),L145&lt;=J145),"TP","FN")),IF(AND(K145&lt;&gt;"",OR(M145&lt;&gt;"Monitoring",Settings!$B$7="Yes")),"FP","TN")),IF(P145="","Needs tag",IF(OR(P145="False alarm",P145="Unscripted – false alarm"),"FP",IF(P145="Duplicate","Duplicate",IF(P145="Late (real act)","Late","Excluded"))))))</f>
        <v/>
      </c>
      <c r="R145" s="47" t="n"/>
      <c r="S145" s="43" t="n"/>
      <c r="T145" s="43" t="n"/>
      <c r="U145" s="43" t="n"/>
      <c r="V145" s="47" t="n"/>
      <c r="W145" s="47" t="n"/>
      <c r="X145" s="52" t="n"/>
      <c r="Y145" s="43" t="n"/>
      <c r="Z145" s="55">
        <f>IF(OR(Y145="",Q145=""),"",IF(Y145=Q145,"OK","MISMATCH"))</f>
        <v/>
      </c>
      <c r="AA145" s="43" t="n"/>
    </row>
    <row r="146" ht="15" customHeight="1" s="35">
      <c r="A146" s="43" t="n"/>
      <c r="B146" s="47" t="n"/>
      <c r="C146" s="47" t="n"/>
      <c r="D146" s="47" t="n"/>
      <c r="E146" s="43" t="n"/>
      <c r="F146" s="52" t="n"/>
      <c r="G146" s="43" t="n"/>
      <c r="H146" s="51" t="n"/>
      <c r="I146" s="53">
        <f>IF(B146&lt;&gt;"Expected","",IF(C146="Parking Obstruction",IF(G146="Validation",Settings!$B$9,Settings!$B$8),IF(C146="Drinking",IF(G146="Validation",Settings!$B$11,Settings!$B$10),0)))</f>
        <v/>
      </c>
      <c r="J146" s="54">
        <f>IF(OR(B146&lt;&gt;"Expected",D146&lt;&gt;"Violation",H146=""),"",H146+I146+Settings!$B$5)</f>
        <v/>
      </c>
      <c r="K146" s="43" t="n"/>
      <c r="L146" s="51" t="n"/>
      <c r="M146" s="43" t="n"/>
      <c r="N146" s="54">
        <f>IF(AND(B146="Expected",D146="Violation",K146&lt;&gt;"",ISNUMBER(L146),ISNUMBER(H146)),L146-H146-I146,"")</f>
        <v/>
      </c>
      <c r="O146" s="43" t="n"/>
      <c r="P146" s="47" t="n"/>
      <c r="Q146" s="55">
        <f>IF(A146="","",IF(B146="Expected",IF(D146="Violation",IF(H146="","Needs start",IF(AND(K146&lt;&gt;"",OR(M146&lt;&gt;"Monitoring",Settings!$B$7="Yes"),ISNUMBER(L146),L146&lt;=J146),"TP","FN")),IF(AND(K146&lt;&gt;"",OR(M146&lt;&gt;"Monitoring",Settings!$B$7="Yes")),"FP","TN")),IF(P146="","Needs tag",IF(OR(P146="False alarm",P146="Unscripted – false alarm"),"FP",IF(P146="Duplicate","Duplicate",IF(P146="Late (real act)","Late","Excluded"))))))</f>
        <v/>
      </c>
      <c r="R146" s="47" t="n"/>
      <c r="S146" s="43" t="n"/>
      <c r="T146" s="43" t="n"/>
      <c r="U146" s="43" t="n"/>
      <c r="V146" s="47" t="n"/>
      <c r="W146" s="47" t="n"/>
      <c r="X146" s="52" t="n"/>
      <c r="Y146" s="43" t="n"/>
      <c r="Z146" s="55">
        <f>IF(OR(Y146="",Q146=""),"",IF(Y146=Q146,"OK","MISMATCH"))</f>
        <v/>
      </c>
      <c r="AA146" s="43" t="n"/>
    </row>
    <row r="147" ht="15" customHeight="1" s="35">
      <c r="A147" s="43" t="n"/>
      <c r="B147" s="47" t="n"/>
      <c r="C147" s="47" t="n"/>
      <c r="D147" s="47" t="n"/>
      <c r="E147" s="43" t="n"/>
      <c r="F147" s="52" t="n"/>
      <c r="G147" s="43" t="n"/>
      <c r="H147" s="51" t="n"/>
      <c r="I147" s="53">
        <f>IF(B147&lt;&gt;"Expected","",IF(C147="Parking Obstruction",IF(G147="Validation",Settings!$B$9,Settings!$B$8),IF(C147="Drinking",IF(G147="Validation",Settings!$B$11,Settings!$B$10),0)))</f>
        <v/>
      </c>
      <c r="J147" s="54">
        <f>IF(OR(B147&lt;&gt;"Expected",D147&lt;&gt;"Violation",H147=""),"",H147+I147+Settings!$B$5)</f>
        <v/>
      </c>
      <c r="K147" s="43" t="n"/>
      <c r="L147" s="51" t="n"/>
      <c r="M147" s="43" t="n"/>
      <c r="N147" s="54">
        <f>IF(AND(B147="Expected",D147="Violation",K147&lt;&gt;"",ISNUMBER(L147),ISNUMBER(H147)),L147-H147-I147,"")</f>
        <v/>
      </c>
      <c r="O147" s="43" t="n"/>
      <c r="P147" s="47" t="n"/>
      <c r="Q147" s="55">
        <f>IF(A147="","",IF(B147="Expected",IF(D147="Violation",IF(H147="","Needs start",IF(AND(K147&lt;&gt;"",OR(M147&lt;&gt;"Monitoring",Settings!$B$7="Yes"),ISNUMBER(L147),L147&lt;=J147),"TP","FN")),IF(AND(K147&lt;&gt;"",OR(M147&lt;&gt;"Monitoring",Settings!$B$7="Yes")),"FP","TN")),IF(P147="","Needs tag",IF(OR(P147="False alarm",P147="Unscripted – false alarm"),"FP",IF(P147="Duplicate","Duplicate",IF(P147="Late (real act)","Late","Excluded"))))))</f>
        <v/>
      </c>
      <c r="R147" s="47" t="n"/>
      <c r="S147" s="43" t="n"/>
      <c r="T147" s="43" t="n"/>
      <c r="U147" s="43" t="n"/>
      <c r="V147" s="47" t="n"/>
      <c r="W147" s="47" t="n"/>
      <c r="X147" s="52" t="n"/>
      <c r="Y147" s="43" t="n"/>
      <c r="Z147" s="55">
        <f>IF(OR(Y147="",Q147=""),"",IF(Y147=Q147,"OK","MISMATCH"))</f>
        <v/>
      </c>
      <c r="AA147" s="43" t="n"/>
    </row>
    <row r="148" ht="15" customHeight="1" s="35">
      <c r="A148" s="43" t="n"/>
      <c r="B148" s="47" t="n"/>
      <c r="C148" s="47" t="n"/>
      <c r="D148" s="47" t="n"/>
      <c r="E148" s="43" t="n"/>
      <c r="F148" s="52" t="n"/>
      <c r="G148" s="43" t="n"/>
      <c r="H148" s="51" t="n"/>
      <c r="I148" s="53">
        <f>IF(B148&lt;&gt;"Expected","",IF(C148="Parking Obstruction",IF(G148="Validation",Settings!$B$9,Settings!$B$8),IF(C148="Drinking",IF(G148="Validation",Settings!$B$11,Settings!$B$10),0)))</f>
        <v/>
      </c>
      <c r="J148" s="54">
        <f>IF(OR(B148&lt;&gt;"Expected",D148&lt;&gt;"Violation",H148=""),"",H148+I148+Settings!$B$5)</f>
        <v/>
      </c>
      <c r="K148" s="43" t="n"/>
      <c r="L148" s="51" t="n"/>
      <c r="M148" s="43" t="n"/>
      <c r="N148" s="54">
        <f>IF(AND(B148="Expected",D148="Violation",K148&lt;&gt;"",ISNUMBER(L148),ISNUMBER(H148)),L148-H148-I148,"")</f>
        <v/>
      </c>
      <c r="O148" s="43" t="n"/>
      <c r="P148" s="47" t="n"/>
      <c r="Q148" s="55">
        <f>IF(A148="","",IF(B148="Expected",IF(D148="Violation",IF(H148="","Needs start",IF(AND(K148&lt;&gt;"",OR(M148&lt;&gt;"Monitoring",Settings!$B$7="Yes"),ISNUMBER(L148),L148&lt;=J148),"TP","FN")),IF(AND(K148&lt;&gt;"",OR(M148&lt;&gt;"Monitoring",Settings!$B$7="Yes")),"FP","TN")),IF(P148="","Needs tag",IF(OR(P148="False alarm",P148="Unscripted – false alarm"),"FP",IF(P148="Duplicate","Duplicate",IF(P148="Late (real act)","Late","Excluded"))))))</f>
        <v/>
      </c>
      <c r="R148" s="47" t="n"/>
      <c r="S148" s="43" t="n"/>
      <c r="T148" s="43" t="n"/>
      <c r="U148" s="43" t="n"/>
      <c r="V148" s="47" t="n"/>
      <c r="W148" s="47" t="n"/>
      <c r="X148" s="52" t="n"/>
      <c r="Y148" s="43" t="n"/>
      <c r="Z148" s="55">
        <f>IF(OR(Y148="",Q148=""),"",IF(Y148=Q148,"OK","MISMATCH"))</f>
        <v/>
      </c>
      <c r="AA148" s="43" t="n"/>
    </row>
    <row r="149" ht="15" customHeight="1" s="35">
      <c r="A149" s="43" t="n"/>
      <c r="B149" s="47" t="n"/>
      <c r="C149" s="47" t="n"/>
      <c r="D149" s="47" t="n"/>
      <c r="E149" s="43" t="n"/>
      <c r="F149" s="52" t="n"/>
      <c r="G149" s="43" t="n"/>
      <c r="H149" s="51" t="n"/>
      <c r="I149" s="53">
        <f>IF(B149&lt;&gt;"Expected","",IF(C149="Parking Obstruction",IF(G149="Validation",Settings!$B$9,Settings!$B$8),IF(C149="Drinking",IF(G149="Validation",Settings!$B$11,Settings!$B$10),0)))</f>
        <v/>
      </c>
      <c r="J149" s="54">
        <f>IF(OR(B149&lt;&gt;"Expected",D149&lt;&gt;"Violation",H149=""),"",H149+I149+Settings!$B$5)</f>
        <v/>
      </c>
      <c r="K149" s="43" t="n"/>
      <c r="L149" s="51" t="n"/>
      <c r="M149" s="43" t="n"/>
      <c r="N149" s="54">
        <f>IF(AND(B149="Expected",D149="Violation",K149&lt;&gt;"",ISNUMBER(L149),ISNUMBER(H149)),L149-H149-I149,"")</f>
        <v/>
      </c>
      <c r="O149" s="43" t="n"/>
      <c r="P149" s="47" t="n"/>
      <c r="Q149" s="55">
        <f>IF(A149="","",IF(B149="Expected",IF(D149="Violation",IF(H149="","Needs start",IF(AND(K149&lt;&gt;"",OR(M149&lt;&gt;"Monitoring",Settings!$B$7="Yes"),ISNUMBER(L149),L149&lt;=J149),"TP","FN")),IF(AND(K149&lt;&gt;"",OR(M149&lt;&gt;"Monitoring",Settings!$B$7="Yes")),"FP","TN")),IF(P149="","Needs tag",IF(OR(P149="False alarm",P149="Unscripted – false alarm"),"FP",IF(P149="Duplicate","Duplicate",IF(P149="Late (real act)","Late","Excluded"))))))</f>
        <v/>
      </c>
      <c r="R149" s="47" t="n"/>
      <c r="S149" s="43" t="n"/>
      <c r="T149" s="43" t="n"/>
      <c r="U149" s="43" t="n"/>
      <c r="V149" s="47" t="n"/>
      <c r="W149" s="47" t="n"/>
      <c r="X149" s="52" t="n"/>
      <c r="Y149" s="43" t="n"/>
      <c r="Z149" s="55">
        <f>IF(OR(Y149="",Q149=""),"",IF(Y149=Q149,"OK","MISMATCH"))</f>
        <v/>
      </c>
      <c r="AA149" s="43" t="n"/>
    </row>
    <row r="150" ht="15" customHeight="1" s="35">
      <c r="A150" s="43" t="n"/>
      <c r="B150" s="47" t="n"/>
      <c r="C150" s="47" t="n"/>
      <c r="D150" s="47" t="n"/>
      <c r="E150" s="43" t="n"/>
      <c r="F150" s="52" t="n"/>
      <c r="G150" s="43" t="n"/>
      <c r="H150" s="51" t="n"/>
      <c r="I150" s="53">
        <f>IF(B150&lt;&gt;"Expected","",IF(C150="Parking Obstruction",IF(G150="Validation",Settings!$B$9,Settings!$B$8),IF(C150="Drinking",IF(G150="Validation",Settings!$B$11,Settings!$B$10),0)))</f>
        <v/>
      </c>
      <c r="J150" s="54">
        <f>IF(OR(B150&lt;&gt;"Expected",D150&lt;&gt;"Violation",H150=""),"",H150+I150+Settings!$B$5)</f>
        <v/>
      </c>
      <c r="K150" s="43" t="n"/>
      <c r="L150" s="51" t="n"/>
      <c r="M150" s="43" t="n"/>
      <c r="N150" s="54">
        <f>IF(AND(B150="Expected",D150="Violation",K150&lt;&gt;"",ISNUMBER(L150),ISNUMBER(H150)),L150-H150-I150,"")</f>
        <v/>
      </c>
      <c r="O150" s="43" t="n"/>
      <c r="P150" s="47" t="n"/>
      <c r="Q150" s="55">
        <f>IF(A150="","",IF(B150="Expected",IF(D150="Violation",IF(H150="","Needs start",IF(AND(K150&lt;&gt;"",OR(M150&lt;&gt;"Monitoring",Settings!$B$7="Yes"),ISNUMBER(L150),L150&lt;=J150),"TP","FN")),IF(AND(K150&lt;&gt;"",OR(M150&lt;&gt;"Monitoring",Settings!$B$7="Yes")),"FP","TN")),IF(P150="","Needs tag",IF(OR(P150="False alarm",P150="Unscripted – false alarm"),"FP",IF(P150="Duplicate","Duplicate",IF(P150="Late (real act)","Late","Excluded"))))))</f>
        <v/>
      </c>
      <c r="R150" s="47" t="n"/>
      <c r="S150" s="43" t="n"/>
      <c r="T150" s="43" t="n"/>
      <c r="U150" s="43" t="n"/>
      <c r="V150" s="47" t="n"/>
      <c r="W150" s="47" t="n"/>
      <c r="X150" s="52" t="n"/>
      <c r="Y150" s="43" t="n"/>
      <c r="Z150" s="55">
        <f>IF(OR(Y150="",Q150=""),"",IF(Y150=Q150,"OK","MISMATCH"))</f>
        <v/>
      </c>
      <c r="AA150" s="43" t="n"/>
    </row>
    <row r="151" ht="15" customHeight="1" s="35">
      <c r="A151" s="43" t="n"/>
      <c r="B151" s="47" t="n"/>
      <c r="C151" s="47" t="n"/>
      <c r="D151" s="47" t="n"/>
      <c r="E151" s="43" t="n"/>
      <c r="F151" s="52" t="n"/>
      <c r="G151" s="43" t="n"/>
      <c r="H151" s="51" t="n"/>
      <c r="I151" s="53">
        <f>IF(B151&lt;&gt;"Expected","",IF(C151="Parking Obstruction",IF(G151="Validation",Settings!$B$9,Settings!$B$8),IF(C151="Drinking",IF(G151="Validation",Settings!$B$11,Settings!$B$10),0)))</f>
        <v/>
      </c>
      <c r="J151" s="54">
        <f>IF(OR(B151&lt;&gt;"Expected",D151&lt;&gt;"Violation",H151=""),"",H151+I151+Settings!$B$5)</f>
        <v/>
      </c>
      <c r="K151" s="43" t="n"/>
      <c r="L151" s="51" t="n"/>
      <c r="M151" s="43" t="n"/>
      <c r="N151" s="54">
        <f>IF(AND(B151="Expected",D151="Violation",K151&lt;&gt;"",ISNUMBER(L151),ISNUMBER(H151)),L151-H151-I151,"")</f>
        <v/>
      </c>
      <c r="O151" s="43" t="n"/>
      <c r="P151" s="47" t="n"/>
      <c r="Q151" s="55">
        <f>IF(A151="","",IF(B151="Expected",IF(D151="Violation",IF(H151="","Needs start",IF(AND(K151&lt;&gt;"",OR(M151&lt;&gt;"Monitoring",Settings!$B$7="Yes"),ISNUMBER(L151),L151&lt;=J151),"TP","FN")),IF(AND(K151&lt;&gt;"",OR(M151&lt;&gt;"Monitoring",Settings!$B$7="Yes")),"FP","TN")),IF(P151="","Needs tag",IF(OR(P151="False alarm",P151="Unscripted – false alarm"),"FP",IF(P151="Duplicate","Duplicate",IF(P151="Late (real act)","Late","Excluded"))))))</f>
        <v/>
      </c>
      <c r="R151" s="47" t="n"/>
      <c r="S151" s="43" t="n"/>
      <c r="T151" s="43" t="n"/>
      <c r="U151" s="43" t="n"/>
      <c r="V151" s="47" t="n"/>
      <c r="W151" s="47" t="n"/>
      <c r="X151" s="52" t="n"/>
      <c r="Y151" s="43" t="n"/>
      <c r="Z151" s="55">
        <f>IF(OR(Y151="",Q151=""),"",IF(Y151=Q151,"OK","MISMATCH"))</f>
        <v/>
      </c>
      <c r="AA151" s="43" t="n"/>
    </row>
    <row r="152" ht="15" customHeight="1" s="35">
      <c r="A152" s="43" t="n"/>
      <c r="B152" s="47" t="n"/>
      <c r="C152" s="47" t="n"/>
      <c r="D152" s="47" t="n"/>
      <c r="E152" s="43" t="n"/>
      <c r="F152" s="52" t="n"/>
      <c r="G152" s="43" t="n"/>
      <c r="H152" s="51" t="n"/>
      <c r="I152" s="53">
        <f>IF(B152&lt;&gt;"Expected","",IF(C152="Parking Obstruction",IF(G152="Validation",Settings!$B$9,Settings!$B$8),IF(C152="Drinking",IF(G152="Validation",Settings!$B$11,Settings!$B$10),0)))</f>
        <v/>
      </c>
      <c r="J152" s="54">
        <f>IF(OR(B152&lt;&gt;"Expected",D152&lt;&gt;"Violation",H152=""),"",H152+I152+Settings!$B$5)</f>
        <v/>
      </c>
      <c r="K152" s="43" t="n"/>
      <c r="L152" s="51" t="n"/>
      <c r="M152" s="43" t="n"/>
      <c r="N152" s="54">
        <f>IF(AND(B152="Expected",D152="Violation",K152&lt;&gt;"",ISNUMBER(L152),ISNUMBER(H152)),L152-H152-I152,"")</f>
        <v/>
      </c>
      <c r="O152" s="43" t="n"/>
      <c r="P152" s="47" t="n"/>
      <c r="Q152" s="55">
        <f>IF(A152="","",IF(B152="Expected",IF(D152="Violation",IF(H152="","Needs start",IF(AND(K152&lt;&gt;"",OR(M152&lt;&gt;"Monitoring",Settings!$B$7="Yes"),ISNUMBER(L152),L152&lt;=J152),"TP","FN")),IF(AND(K152&lt;&gt;"",OR(M152&lt;&gt;"Monitoring",Settings!$B$7="Yes")),"FP","TN")),IF(P152="","Needs tag",IF(OR(P152="False alarm",P152="Unscripted – false alarm"),"FP",IF(P152="Duplicate","Duplicate",IF(P152="Late (real act)","Late","Excluded"))))))</f>
        <v/>
      </c>
      <c r="R152" s="47" t="n"/>
      <c r="S152" s="43" t="n"/>
      <c r="T152" s="43" t="n"/>
      <c r="U152" s="43" t="n"/>
      <c r="V152" s="47" t="n"/>
      <c r="W152" s="47" t="n"/>
      <c r="X152" s="52" t="n"/>
      <c r="Y152" s="43" t="n"/>
      <c r="Z152" s="55">
        <f>IF(OR(Y152="",Q152=""),"",IF(Y152=Q152,"OK","MISMATCH"))</f>
        <v/>
      </c>
      <c r="AA152" s="43" t="n"/>
    </row>
    <row r="153" ht="15" customHeight="1" s="35">
      <c r="A153" s="43" t="n"/>
      <c r="B153" s="47" t="n"/>
      <c r="C153" s="47" t="n"/>
      <c r="D153" s="47" t="n"/>
      <c r="E153" s="43" t="n"/>
      <c r="F153" s="52" t="n"/>
      <c r="G153" s="43" t="n"/>
      <c r="H153" s="51" t="n"/>
      <c r="I153" s="53">
        <f>IF(B153&lt;&gt;"Expected","",IF(C153="Parking Obstruction",IF(G153="Validation",Settings!$B$9,Settings!$B$8),IF(C153="Drinking",IF(G153="Validation",Settings!$B$11,Settings!$B$10),0)))</f>
        <v/>
      </c>
      <c r="J153" s="54">
        <f>IF(OR(B153&lt;&gt;"Expected",D153&lt;&gt;"Violation",H153=""),"",H153+I153+Settings!$B$5)</f>
        <v/>
      </c>
      <c r="K153" s="43" t="n"/>
      <c r="L153" s="51" t="n"/>
      <c r="M153" s="43" t="n"/>
      <c r="N153" s="54">
        <f>IF(AND(B153="Expected",D153="Violation",K153&lt;&gt;"",ISNUMBER(L153),ISNUMBER(H153)),L153-H153-I153,"")</f>
        <v/>
      </c>
      <c r="O153" s="43" t="n"/>
      <c r="P153" s="47" t="n"/>
      <c r="Q153" s="55">
        <f>IF(A153="","",IF(B153="Expected",IF(D153="Violation",IF(H153="","Needs start",IF(AND(K153&lt;&gt;"",OR(M153&lt;&gt;"Monitoring",Settings!$B$7="Yes"),ISNUMBER(L153),L153&lt;=J153),"TP","FN")),IF(AND(K153&lt;&gt;"",OR(M153&lt;&gt;"Monitoring",Settings!$B$7="Yes")),"FP","TN")),IF(P153="","Needs tag",IF(OR(P153="False alarm",P153="Unscripted – false alarm"),"FP",IF(P153="Duplicate","Duplicate",IF(P153="Late (real act)","Late","Excluded"))))))</f>
        <v/>
      </c>
      <c r="R153" s="47" t="n"/>
      <c r="S153" s="43" t="n"/>
      <c r="T153" s="43" t="n"/>
      <c r="U153" s="43" t="n"/>
      <c r="V153" s="47" t="n"/>
      <c r="W153" s="47" t="n"/>
      <c r="X153" s="52" t="n"/>
      <c r="Y153" s="43" t="n"/>
      <c r="Z153" s="55">
        <f>IF(OR(Y153="",Q153=""),"",IF(Y153=Q153,"OK","MISMATCH"))</f>
        <v/>
      </c>
      <c r="AA153" s="43" t="n"/>
    </row>
    <row r="154" ht="15" customHeight="1" s="35">
      <c r="A154" s="43" t="n"/>
      <c r="B154" s="47" t="n"/>
      <c r="C154" s="47" t="n"/>
      <c r="D154" s="47" t="n"/>
      <c r="E154" s="43" t="n"/>
      <c r="F154" s="52" t="n"/>
      <c r="G154" s="43" t="n"/>
      <c r="H154" s="51" t="n"/>
      <c r="I154" s="53">
        <f>IF(B154&lt;&gt;"Expected","",IF(C154="Parking Obstruction",IF(G154="Validation",Settings!$B$9,Settings!$B$8),IF(C154="Drinking",IF(G154="Validation",Settings!$B$11,Settings!$B$10),0)))</f>
        <v/>
      </c>
      <c r="J154" s="54">
        <f>IF(OR(B154&lt;&gt;"Expected",D154&lt;&gt;"Violation",H154=""),"",H154+I154+Settings!$B$5)</f>
        <v/>
      </c>
      <c r="K154" s="43" t="n"/>
      <c r="L154" s="51" t="n"/>
      <c r="M154" s="43" t="n"/>
      <c r="N154" s="54">
        <f>IF(AND(B154="Expected",D154="Violation",K154&lt;&gt;"",ISNUMBER(L154),ISNUMBER(H154)),L154-H154-I154,"")</f>
        <v/>
      </c>
      <c r="O154" s="43" t="n"/>
      <c r="P154" s="47" t="n"/>
      <c r="Q154" s="55">
        <f>IF(A154="","",IF(B154="Expected",IF(D154="Violation",IF(H154="","Needs start",IF(AND(K154&lt;&gt;"",OR(M154&lt;&gt;"Monitoring",Settings!$B$7="Yes"),ISNUMBER(L154),L154&lt;=J154),"TP","FN")),IF(AND(K154&lt;&gt;"",OR(M154&lt;&gt;"Monitoring",Settings!$B$7="Yes")),"FP","TN")),IF(P154="","Needs tag",IF(OR(P154="False alarm",P154="Unscripted – false alarm"),"FP",IF(P154="Duplicate","Duplicate",IF(P154="Late (real act)","Late","Excluded"))))))</f>
        <v/>
      </c>
      <c r="R154" s="47" t="n"/>
      <c r="S154" s="43" t="n"/>
      <c r="T154" s="43" t="n"/>
      <c r="U154" s="43" t="n"/>
      <c r="V154" s="47" t="n"/>
      <c r="W154" s="47" t="n"/>
      <c r="X154" s="52" t="n"/>
      <c r="Y154" s="43" t="n"/>
      <c r="Z154" s="55">
        <f>IF(OR(Y154="",Q154=""),"",IF(Y154=Q154,"OK","MISMATCH"))</f>
        <v/>
      </c>
      <c r="AA154" s="43" t="n"/>
    </row>
    <row r="155" ht="15" customHeight="1" s="35">
      <c r="A155" s="43" t="n"/>
      <c r="B155" s="47" t="n"/>
      <c r="C155" s="47" t="n"/>
      <c r="D155" s="47" t="n"/>
      <c r="E155" s="43" t="n"/>
      <c r="F155" s="52" t="n"/>
      <c r="G155" s="43" t="n"/>
      <c r="H155" s="51" t="n"/>
      <c r="I155" s="53">
        <f>IF(B155&lt;&gt;"Expected","",IF(C155="Parking Obstruction",IF(G155="Validation",Settings!$B$9,Settings!$B$8),IF(C155="Drinking",IF(G155="Validation",Settings!$B$11,Settings!$B$10),0)))</f>
        <v/>
      </c>
      <c r="J155" s="54">
        <f>IF(OR(B155&lt;&gt;"Expected",D155&lt;&gt;"Violation",H155=""),"",H155+I155+Settings!$B$5)</f>
        <v/>
      </c>
      <c r="K155" s="43" t="n"/>
      <c r="L155" s="51" t="n"/>
      <c r="M155" s="43" t="n"/>
      <c r="N155" s="54">
        <f>IF(AND(B155="Expected",D155="Violation",K155&lt;&gt;"",ISNUMBER(L155),ISNUMBER(H155)),L155-H155-I155,"")</f>
        <v/>
      </c>
      <c r="O155" s="43" t="n"/>
      <c r="P155" s="47" t="n"/>
      <c r="Q155" s="55">
        <f>IF(A155="","",IF(B155="Expected",IF(D155="Violation",IF(H155="","Needs start",IF(AND(K155&lt;&gt;"",OR(M155&lt;&gt;"Monitoring",Settings!$B$7="Yes"),ISNUMBER(L155),L155&lt;=J155),"TP","FN")),IF(AND(K155&lt;&gt;"",OR(M155&lt;&gt;"Monitoring",Settings!$B$7="Yes")),"FP","TN")),IF(P155="","Needs tag",IF(OR(P155="False alarm",P155="Unscripted – false alarm"),"FP",IF(P155="Duplicate","Duplicate",IF(P155="Late (real act)","Late","Excluded"))))))</f>
        <v/>
      </c>
      <c r="R155" s="47" t="n"/>
      <c r="S155" s="43" t="n"/>
      <c r="T155" s="43" t="n"/>
      <c r="U155" s="43" t="n"/>
      <c r="V155" s="47" t="n"/>
      <c r="W155" s="47" t="n"/>
      <c r="X155" s="52" t="n"/>
      <c r="Y155" s="43" t="n"/>
      <c r="Z155" s="55">
        <f>IF(OR(Y155="",Q155=""),"",IF(Y155=Q155,"OK","MISMATCH"))</f>
        <v/>
      </c>
      <c r="AA155" s="43" t="n"/>
    </row>
    <row r="156" ht="15" customHeight="1" s="35">
      <c r="A156" s="43" t="n"/>
      <c r="B156" s="47" t="n"/>
      <c r="C156" s="47" t="n"/>
      <c r="D156" s="47" t="n"/>
      <c r="E156" s="43" t="n"/>
      <c r="F156" s="52" t="n"/>
      <c r="G156" s="43" t="n"/>
      <c r="H156" s="51" t="n"/>
      <c r="I156" s="53">
        <f>IF(B156&lt;&gt;"Expected","",IF(C156="Parking Obstruction",IF(G156="Validation",Settings!$B$9,Settings!$B$8),IF(C156="Drinking",IF(G156="Validation",Settings!$B$11,Settings!$B$10),0)))</f>
        <v/>
      </c>
      <c r="J156" s="54">
        <f>IF(OR(B156&lt;&gt;"Expected",D156&lt;&gt;"Violation",H156=""),"",H156+I156+Settings!$B$5)</f>
        <v/>
      </c>
      <c r="K156" s="43" t="n"/>
      <c r="L156" s="51" t="n"/>
      <c r="M156" s="43" t="n"/>
      <c r="N156" s="54">
        <f>IF(AND(B156="Expected",D156="Violation",K156&lt;&gt;"",ISNUMBER(L156),ISNUMBER(H156)),L156-H156-I156,"")</f>
        <v/>
      </c>
      <c r="O156" s="43" t="n"/>
      <c r="P156" s="47" t="n"/>
      <c r="Q156" s="55">
        <f>IF(A156="","",IF(B156="Expected",IF(D156="Violation",IF(H156="","Needs start",IF(AND(K156&lt;&gt;"",OR(M156&lt;&gt;"Monitoring",Settings!$B$7="Yes"),ISNUMBER(L156),L156&lt;=J156),"TP","FN")),IF(AND(K156&lt;&gt;"",OR(M156&lt;&gt;"Monitoring",Settings!$B$7="Yes")),"FP","TN")),IF(P156="","Needs tag",IF(OR(P156="False alarm",P156="Unscripted – false alarm"),"FP",IF(P156="Duplicate","Duplicate",IF(P156="Late (real act)","Late","Excluded"))))))</f>
        <v/>
      </c>
      <c r="R156" s="47" t="n"/>
      <c r="S156" s="43" t="n"/>
      <c r="T156" s="43" t="n"/>
      <c r="U156" s="43" t="n"/>
      <c r="V156" s="47" t="n"/>
      <c r="W156" s="47" t="n"/>
      <c r="X156" s="52" t="n"/>
      <c r="Y156" s="43" t="n"/>
      <c r="Z156" s="55">
        <f>IF(OR(Y156="",Q156=""),"",IF(Y156=Q156,"OK","MISMATCH"))</f>
        <v/>
      </c>
      <c r="AA156" s="43" t="n"/>
    </row>
    <row r="157" ht="15" customHeight="1" s="35">
      <c r="A157" s="43" t="n"/>
      <c r="B157" s="47" t="n"/>
      <c r="C157" s="47" t="n"/>
      <c r="D157" s="47" t="n"/>
      <c r="E157" s="43" t="n"/>
      <c r="F157" s="52" t="n"/>
      <c r="G157" s="43" t="n"/>
      <c r="H157" s="51" t="n"/>
      <c r="I157" s="53">
        <f>IF(B157&lt;&gt;"Expected","",IF(C157="Parking Obstruction",IF(G157="Validation",Settings!$B$9,Settings!$B$8),IF(C157="Drinking",IF(G157="Validation",Settings!$B$11,Settings!$B$10),0)))</f>
        <v/>
      </c>
      <c r="J157" s="54">
        <f>IF(OR(B157&lt;&gt;"Expected",D157&lt;&gt;"Violation",H157=""),"",H157+I157+Settings!$B$5)</f>
        <v/>
      </c>
      <c r="K157" s="43" t="n"/>
      <c r="L157" s="51" t="n"/>
      <c r="M157" s="43" t="n"/>
      <c r="N157" s="54">
        <f>IF(AND(B157="Expected",D157="Violation",K157&lt;&gt;"",ISNUMBER(L157),ISNUMBER(H157)),L157-H157-I157,"")</f>
        <v/>
      </c>
      <c r="O157" s="43" t="n"/>
      <c r="P157" s="47" t="n"/>
      <c r="Q157" s="55">
        <f>IF(A157="","",IF(B157="Expected",IF(D157="Violation",IF(H157="","Needs start",IF(AND(K157&lt;&gt;"",OR(M157&lt;&gt;"Monitoring",Settings!$B$7="Yes"),ISNUMBER(L157),L157&lt;=J157),"TP","FN")),IF(AND(K157&lt;&gt;"",OR(M157&lt;&gt;"Monitoring",Settings!$B$7="Yes")),"FP","TN")),IF(P157="","Needs tag",IF(OR(P157="False alarm",P157="Unscripted – false alarm"),"FP",IF(P157="Duplicate","Duplicate",IF(P157="Late (real act)","Late","Excluded"))))))</f>
        <v/>
      </c>
      <c r="R157" s="47" t="n"/>
      <c r="S157" s="43" t="n"/>
      <c r="T157" s="43" t="n"/>
      <c r="U157" s="43" t="n"/>
      <c r="V157" s="47" t="n"/>
      <c r="W157" s="47" t="n"/>
      <c r="X157" s="52" t="n"/>
      <c r="Y157" s="43" t="n"/>
      <c r="Z157" s="55">
        <f>IF(OR(Y157="",Q157=""),"",IF(Y157=Q157,"OK","MISMATCH"))</f>
        <v/>
      </c>
      <c r="AA157" s="43" t="n"/>
    </row>
    <row r="158" ht="15" customHeight="1" s="35">
      <c r="A158" s="43" t="n"/>
      <c r="B158" s="47" t="n"/>
      <c r="C158" s="47" t="n"/>
      <c r="D158" s="47" t="n"/>
      <c r="E158" s="43" t="n"/>
      <c r="F158" s="52" t="n"/>
      <c r="G158" s="43" t="n"/>
      <c r="H158" s="51" t="n"/>
      <c r="I158" s="53">
        <f>IF(B158&lt;&gt;"Expected","",IF(C158="Parking Obstruction",IF(G158="Validation",Settings!$B$9,Settings!$B$8),IF(C158="Drinking",IF(G158="Validation",Settings!$B$11,Settings!$B$10),0)))</f>
        <v/>
      </c>
      <c r="J158" s="54">
        <f>IF(OR(B158&lt;&gt;"Expected",D158&lt;&gt;"Violation",H158=""),"",H158+I158+Settings!$B$5)</f>
        <v/>
      </c>
      <c r="K158" s="43" t="n"/>
      <c r="L158" s="51" t="n"/>
      <c r="M158" s="43" t="n"/>
      <c r="N158" s="54">
        <f>IF(AND(B158="Expected",D158="Violation",K158&lt;&gt;"",ISNUMBER(L158),ISNUMBER(H158)),L158-H158-I158,"")</f>
        <v/>
      </c>
      <c r="O158" s="43" t="n"/>
      <c r="P158" s="47" t="n"/>
      <c r="Q158" s="55">
        <f>IF(A158="","",IF(B158="Expected",IF(D158="Violation",IF(H158="","Needs start",IF(AND(K158&lt;&gt;"",OR(M158&lt;&gt;"Monitoring",Settings!$B$7="Yes"),ISNUMBER(L158),L158&lt;=J158),"TP","FN")),IF(AND(K158&lt;&gt;"",OR(M158&lt;&gt;"Monitoring",Settings!$B$7="Yes")),"FP","TN")),IF(P158="","Needs tag",IF(OR(P158="False alarm",P158="Unscripted – false alarm"),"FP",IF(P158="Duplicate","Duplicate",IF(P158="Late (real act)","Late","Excluded"))))))</f>
        <v/>
      </c>
      <c r="R158" s="47" t="n"/>
      <c r="S158" s="43" t="n"/>
      <c r="T158" s="43" t="n"/>
      <c r="U158" s="43" t="n"/>
      <c r="V158" s="47" t="n"/>
      <c r="W158" s="47" t="n"/>
      <c r="X158" s="52" t="n"/>
      <c r="Y158" s="43" t="n"/>
      <c r="Z158" s="55">
        <f>IF(OR(Y158="",Q158=""),"",IF(Y158=Q158,"OK","MISMATCH"))</f>
        <v/>
      </c>
      <c r="AA158" s="43" t="n"/>
    </row>
    <row r="159" ht="15" customHeight="1" s="35">
      <c r="A159" s="43" t="n"/>
      <c r="B159" s="47" t="n"/>
      <c r="C159" s="47" t="n"/>
      <c r="D159" s="47" t="n"/>
      <c r="E159" s="43" t="n"/>
      <c r="F159" s="52" t="n"/>
      <c r="G159" s="43" t="n"/>
      <c r="H159" s="51" t="n"/>
      <c r="I159" s="53">
        <f>IF(B159&lt;&gt;"Expected","",IF(C159="Parking Obstruction",IF(G159="Validation",Settings!$B$9,Settings!$B$8),IF(C159="Drinking",IF(G159="Validation",Settings!$B$11,Settings!$B$10),0)))</f>
        <v/>
      </c>
      <c r="J159" s="54">
        <f>IF(OR(B159&lt;&gt;"Expected",D159&lt;&gt;"Violation",H159=""),"",H159+I159+Settings!$B$5)</f>
        <v/>
      </c>
      <c r="K159" s="43" t="n"/>
      <c r="L159" s="51" t="n"/>
      <c r="M159" s="43" t="n"/>
      <c r="N159" s="54">
        <f>IF(AND(B159="Expected",D159="Violation",K159&lt;&gt;"",ISNUMBER(L159),ISNUMBER(H159)),L159-H159-I159,"")</f>
        <v/>
      </c>
      <c r="O159" s="43" t="n"/>
      <c r="P159" s="47" t="n"/>
      <c r="Q159" s="55">
        <f>IF(A159="","",IF(B159="Expected",IF(D159="Violation",IF(H159="","Needs start",IF(AND(K159&lt;&gt;"",OR(M159&lt;&gt;"Monitoring",Settings!$B$7="Yes"),ISNUMBER(L159),L159&lt;=J159),"TP","FN")),IF(AND(K159&lt;&gt;"",OR(M159&lt;&gt;"Monitoring",Settings!$B$7="Yes")),"FP","TN")),IF(P159="","Needs tag",IF(OR(P159="False alarm",P159="Unscripted – false alarm"),"FP",IF(P159="Duplicate","Duplicate",IF(P159="Late (real act)","Late","Excluded"))))))</f>
        <v/>
      </c>
      <c r="R159" s="47" t="n"/>
      <c r="S159" s="43" t="n"/>
      <c r="T159" s="43" t="n"/>
      <c r="U159" s="43" t="n"/>
      <c r="V159" s="47" t="n"/>
      <c r="W159" s="47" t="n"/>
      <c r="X159" s="52" t="n"/>
      <c r="Y159" s="43" t="n"/>
      <c r="Z159" s="55">
        <f>IF(OR(Y159="",Q159=""),"",IF(Y159=Q159,"OK","MISMATCH"))</f>
        <v/>
      </c>
      <c r="AA159" s="43" t="n"/>
    </row>
    <row r="160" ht="15" customHeight="1" s="35">
      <c r="A160" s="43" t="n"/>
      <c r="B160" s="47" t="n"/>
      <c r="C160" s="47" t="n"/>
      <c r="D160" s="47" t="n"/>
      <c r="E160" s="43" t="n"/>
      <c r="F160" s="52" t="n"/>
      <c r="G160" s="43" t="n"/>
      <c r="H160" s="51" t="n"/>
      <c r="I160" s="53">
        <f>IF(B160&lt;&gt;"Expected","",IF(C160="Parking Obstruction",IF(G160="Validation",Settings!$B$9,Settings!$B$8),IF(C160="Drinking",IF(G160="Validation",Settings!$B$11,Settings!$B$10),0)))</f>
        <v/>
      </c>
      <c r="J160" s="54">
        <f>IF(OR(B160&lt;&gt;"Expected",D160&lt;&gt;"Violation",H160=""),"",H160+I160+Settings!$B$5)</f>
        <v/>
      </c>
      <c r="K160" s="43" t="n"/>
      <c r="L160" s="51" t="n"/>
      <c r="M160" s="43" t="n"/>
      <c r="N160" s="54">
        <f>IF(AND(B160="Expected",D160="Violation",K160&lt;&gt;"",ISNUMBER(L160),ISNUMBER(H160)),L160-H160-I160,"")</f>
        <v/>
      </c>
      <c r="O160" s="43" t="n"/>
      <c r="P160" s="47" t="n"/>
      <c r="Q160" s="55">
        <f>IF(A160="","",IF(B160="Expected",IF(D160="Violation",IF(H160="","Needs start",IF(AND(K160&lt;&gt;"",OR(M160&lt;&gt;"Monitoring",Settings!$B$7="Yes"),ISNUMBER(L160),L160&lt;=J160),"TP","FN")),IF(AND(K160&lt;&gt;"",OR(M160&lt;&gt;"Monitoring",Settings!$B$7="Yes")),"FP","TN")),IF(P160="","Needs tag",IF(OR(P160="False alarm",P160="Unscripted – false alarm"),"FP",IF(P160="Duplicate","Duplicate",IF(P160="Late (real act)","Late","Excluded"))))))</f>
        <v/>
      </c>
      <c r="R160" s="47" t="n"/>
      <c r="S160" s="43" t="n"/>
      <c r="T160" s="43" t="n"/>
      <c r="U160" s="43" t="n"/>
      <c r="V160" s="47" t="n"/>
      <c r="W160" s="47" t="n"/>
      <c r="X160" s="52" t="n"/>
      <c r="Y160" s="43" t="n"/>
      <c r="Z160" s="55">
        <f>IF(OR(Y160="",Q160=""),"",IF(Y160=Q160,"OK","MISMATCH"))</f>
        <v/>
      </c>
      <c r="AA160" s="43" t="n"/>
    </row>
    <row r="161" ht="15" customHeight="1" s="35">
      <c r="A161" s="43" t="n"/>
      <c r="B161" s="47" t="n"/>
      <c r="C161" s="47" t="n"/>
      <c r="D161" s="47" t="n"/>
      <c r="E161" s="43" t="n"/>
      <c r="F161" s="52" t="n"/>
      <c r="G161" s="43" t="n"/>
      <c r="H161" s="51" t="n"/>
      <c r="I161" s="53">
        <f>IF(B161&lt;&gt;"Expected","",IF(C161="Parking Obstruction",IF(G161="Validation",Settings!$B$9,Settings!$B$8),IF(C161="Drinking",IF(G161="Validation",Settings!$B$11,Settings!$B$10),0)))</f>
        <v/>
      </c>
      <c r="J161" s="54">
        <f>IF(OR(B161&lt;&gt;"Expected",D161&lt;&gt;"Violation",H161=""),"",H161+I161+Settings!$B$5)</f>
        <v/>
      </c>
      <c r="K161" s="43" t="n"/>
      <c r="L161" s="51" t="n"/>
      <c r="M161" s="43" t="n"/>
      <c r="N161" s="54">
        <f>IF(AND(B161="Expected",D161="Violation",K161&lt;&gt;"",ISNUMBER(L161),ISNUMBER(H161)),L161-H161-I161,"")</f>
        <v/>
      </c>
      <c r="O161" s="43" t="n"/>
      <c r="P161" s="47" t="n"/>
      <c r="Q161" s="55">
        <f>IF(A161="","",IF(B161="Expected",IF(D161="Violation",IF(H161="","Needs start",IF(AND(K161&lt;&gt;"",OR(M161&lt;&gt;"Monitoring",Settings!$B$7="Yes"),ISNUMBER(L161),L161&lt;=J161),"TP","FN")),IF(AND(K161&lt;&gt;"",OR(M161&lt;&gt;"Monitoring",Settings!$B$7="Yes")),"FP","TN")),IF(P161="","Needs tag",IF(OR(P161="False alarm",P161="Unscripted – false alarm"),"FP",IF(P161="Duplicate","Duplicate",IF(P161="Late (real act)","Late","Excluded"))))))</f>
        <v/>
      </c>
      <c r="R161" s="47" t="n"/>
      <c r="S161" s="43" t="n"/>
      <c r="T161" s="43" t="n"/>
      <c r="U161" s="43" t="n"/>
      <c r="V161" s="47" t="n"/>
      <c r="W161" s="47" t="n"/>
      <c r="X161" s="52" t="n"/>
      <c r="Y161" s="43" t="n"/>
      <c r="Z161" s="55">
        <f>IF(OR(Y161="",Q161=""),"",IF(Y161=Q161,"OK","MISMATCH"))</f>
        <v/>
      </c>
      <c r="AA161" s="43" t="n"/>
    </row>
    <row r="162" ht="15" customHeight="1" s="35">
      <c r="A162" s="43" t="n"/>
      <c r="B162" s="47" t="n"/>
      <c r="C162" s="47" t="n"/>
      <c r="D162" s="47" t="n"/>
      <c r="E162" s="43" t="n"/>
      <c r="F162" s="52" t="n"/>
      <c r="G162" s="43" t="n"/>
      <c r="H162" s="51" t="n"/>
      <c r="I162" s="53">
        <f>IF(B162&lt;&gt;"Expected","",IF(C162="Parking Obstruction",IF(G162="Validation",Settings!$B$9,Settings!$B$8),IF(C162="Drinking",IF(G162="Validation",Settings!$B$11,Settings!$B$10),0)))</f>
        <v/>
      </c>
      <c r="J162" s="54">
        <f>IF(OR(B162&lt;&gt;"Expected",D162&lt;&gt;"Violation",H162=""),"",H162+I162+Settings!$B$5)</f>
        <v/>
      </c>
      <c r="K162" s="43" t="n"/>
      <c r="L162" s="51" t="n"/>
      <c r="M162" s="43" t="n"/>
      <c r="N162" s="54">
        <f>IF(AND(B162="Expected",D162="Violation",K162&lt;&gt;"",ISNUMBER(L162),ISNUMBER(H162)),L162-H162-I162,"")</f>
        <v/>
      </c>
      <c r="O162" s="43" t="n"/>
      <c r="P162" s="47" t="n"/>
      <c r="Q162" s="55">
        <f>IF(A162="","",IF(B162="Expected",IF(D162="Violation",IF(H162="","Needs start",IF(AND(K162&lt;&gt;"",OR(M162&lt;&gt;"Monitoring",Settings!$B$7="Yes"),ISNUMBER(L162),L162&lt;=J162),"TP","FN")),IF(AND(K162&lt;&gt;"",OR(M162&lt;&gt;"Monitoring",Settings!$B$7="Yes")),"FP","TN")),IF(P162="","Needs tag",IF(OR(P162="False alarm",P162="Unscripted – false alarm"),"FP",IF(P162="Duplicate","Duplicate",IF(P162="Late (real act)","Late","Excluded"))))))</f>
        <v/>
      </c>
      <c r="R162" s="47" t="n"/>
      <c r="S162" s="43" t="n"/>
      <c r="T162" s="43" t="n"/>
      <c r="U162" s="43" t="n"/>
      <c r="V162" s="47" t="n"/>
      <c r="W162" s="47" t="n"/>
      <c r="X162" s="52" t="n"/>
      <c r="Y162" s="43" t="n"/>
      <c r="Z162" s="55">
        <f>IF(OR(Y162="",Q162=""),"",IF(Y162=Q162,"OK","MISMATCH"))</f>
        <v/>
      </c>
      <c r="AA162" s="43" t="n"/>
    </row>
    <row r="163" ht="15" customHeight="1" s="35">
      <c r="A163" s="43" t="n"/>
      <c r="B163" s="47" t="n"/>
      <c r="C163" s="47" t="n"/>
      <c r="D163" s="47" t="n"/>
      <c r="E163" s="43" t="n"/>
      <c r="F163" s="52" t="n"/>
      <c r="G163" s="43" t="n"/>
      <c r="H163" s="51" t="n"/>
      <c r="I163" s="53">
        <f>IF(B163&lt;&gt;"Expected","",IF(C163="Parking Obstruction",IF(G163="Validation",Settings!$B$9,Settings!$B$8),IF(C163="Drinking",IF(G163="Validation",Settings!$B$11,Settings!$B$10),0)))</f>
        <v/>
      </c>
      <c r="J163" s="54">
        <f>IF(OR(B163&lt;&gt;"Expected",D163&lt;&gt;"Violation",H163=""),"",H163+I163+Settings!$B$5)</f>
        <v/>
      </c>
      <c r="K163" s="43" t="n"/>
      <c r="L163" s="51" t="n"/>
      <c r="M163" s="43" t="n"/>
      <c r="N163" s="54">
        <f>IF(AND(B163="Expected",D163="Violation",K163&lt;&gt;"",ISNUMBER(L163),ISNUMBER(H163)),L163-H163-I163,"")</f>
        <v/>
      </c>
      <c r="O163" s="43" t="n"/>
      <c r="P163" s="47" t="n"/>
      <c r="Q163" s="55">
        <f>IF(A163="","",IF(B163="Expected",IF(D163="Violation",IF(H163="","Needs start",IF(AND(K163&lt;&gt;"",OR(M163&lt;&gt;"Monitoring",Settings!$B$7="Yes"),ISNUMBER(L163),L163&lt;=J163),"TP","FN")),IF(AND(K163&lt;&gt;"",OR(M163&lt;&gt;"Monitoring",Settings!$B$7="Yes")),"FP","TN")),IF(P163="","Needs tag",IF(OR(P163="False alarm",P163="Unscripted – false alarm"),"FP",IF(P163="Duplicate","Duplicate",IF(P163="Late (real act)","Late","Excluded"))))))</f>
        <v/>
      </c>
      <c r="R163" s="47" t="n"/>
      <c r="S163" s="43" t="n"/>
      <c r="T163" s="43" t="n"/>
      <c r="U163" s="43" t="n"/>
      <c r="V163" s="47" t="n"/>
      <c r="W163" s="47" t="n"/>
      <c r="X163" s="52" t="n"/>
      <c r="Y163" s="43" t="n"/>
      <c r="Z163" s="55">
        <f>IF(OR(Y163="",Q163=""),"",IF(Y163=Q163,"OK","MISMATCH"))</f>
        <v/>
      </c>
      <c r="AA163" s="43" t="n"/>
    </row>
    <row r="164" ht="15" customHeight="1" s="35">
      <c r="A164" s="43" t="n"/>
      <c r="B164" s="47" t="n"/>
      <c r="C164" s="47" t="n"/>
      <c r="D164" s="47" t="n"/>
      <c r="E164" s="43" t="n"/>
      <c r="F164" s="52" t="n"/>
      <c r="G164" s="43" t="n"/>
      <c r="H164" s="51" t="n"/>
      <c r="I164" s="53">
        <f>IF(B164&lt;&gt;"Expected","",IF(C164="Parking Obstruction",IF(G164="Validation",Settings!$B$9,Settings!$B$8),IF(C164="Drinking",IF(G164="Validation",Settings!$B$11,Settings!$B$10),0)))</f>
        <v/>
      </c>
      <c r="J164" s="54">
        <f>IF(OR(B164&lt;&gt;"Expected",D164&lt;&gt;"Violation",H164=""),"",H164+I164+Settings!$B$5)</f>
        <v/>
      </c>
      <c r="K164" s="43" t="n"/>
      <c r="L164" s="51" t="n"/>
      <c r="M164" s="43" t="n"/>
      <c r="N164" s="54">
        <f>IF(AND(B164="Expected",D164="Violation",K164&lt;&gt;"",ISNUMBER(L164),ISNUMBER(H164)),L164-H164-I164,"")</f>
        <v/>
      </c>
      <c r="O164" s="43" t="n"/>
      <c r="P164" s="47" t="n"/>
      <c r="Q164" s="55">
        <f>IF(A164="","",IF(B164="Expected",IF(D164="Violation",IF(H164="","Needs start",IF(AND(K164&lt;&gt;"",OR(M164&lt;&gt;"Monitoring",Settings!$B$7="Yes"),ISNUMBER(L164),L164&lt;=J164),"TP","FN")),IF(AND(K164&lt;&gt;"",OR(M164&lt;&gt;"Monitoring",Settings!$B$7="Yes")),"FP","TN")),IF(P164="","Needs tag",IF(OR(P164="False alarm",P164="Unscripted – false alarm"),"FP",IF(P164="Duplicate","Duplicate",IF(P164="Late (real act)","Late","Excluded"))))))</f>
        <v/>
      </c>
      <c r="R164" s="47" t="n"/>
      <c r="S164" s="43" t="n"/>
      <c r="T164" s="43" t="n"/>
      <c r="U164" s="43" t="n"/>
      <c r="V164" s="47" t="n"/>
      <c r="W164" s="47" t="n"/>
      <c r="X164" s="52" t="n"/>
      <c r="Y164" s="43" t="n"/>
      <c r="Z164" s="55">
        <f>IF(OR(Y164="",Q164=""),"",IF(Y164=Q164,"OK","MISMATCH"))</f>
        <v/>
      </c>
      <c r="AA164" s="43" t="n"/>
    </row>
    <row r="165" ht="15" customHeight="1" s="35">
      <c r="A165" s="43" t="n"/>
      <c r="B165" s="47" t="n"/>
      <c r="C165" s="47" t="n"/>
      <c r="D165" s="47" t="n"/>
      <c r="E165" s="43" t="n"/>
      <c r="F165" s="52" t="n"/>
      <c r="G165" s="43" t="n"/>
      <c r="H165" s="51" t="n"/>
      <c r="I165" s="53">
        <f>IF(B165&lt;&gt;"Expected","",IF(C165="Parking Obstruction",IF(G165="Validation",Settings!$B$9,Settings!$B$8),IF(C165="Drinking",IF(G165="Validation",Settings!$B$11,Settings!$B$10),0)))</f>
        <v/>
      </c>
      <c r="J165" s="54">
        <f>IF(OR(B165&lt;&gt;"Expected",D165&lt;&gt;"Violation",H165=""),"",H165+I165+Settings!$B$5)</f>
        <v/>
      </c>
      <c r="K165" s="43" t="n"/>
      <c r="L165" s="51" t="n"/>
      <c r="M165" s="43" t="n"/>
      <c r="N165" s="54">
        <f>IF(AND(B165="Expected",D165="Violation",K165&lt;&gt;"",ISNUMBER(L165),ISNUMBER(H165)),L165-H165-I165,"")</f>
        <v/>
      </c>
      <c r="O165" s="43" t="n"/>
      <c r="P165" s="47" t="n"/>
      <c r="Q165" s="55">
        <f>IF(A165="","",IF(B165="Expected",IF(D165="Violation",IF(H165="","Needs start",IF(AND(K165&lt;&gt;"",OR(M165&lt;&gt;"Monitoring",Settings!$B$7="Yes"),ISNUMBER(L165),L165&lt;=J165),"TP","FN")),IF(AND(K165&lt;&gt;"",OR(M165&lt;&gt;"Monitoring",Settings!$B$7="Yes")),"FP","TN")),IF(P165="","Needs tag",IF(OR(P165="False alarm",P165="Unscripted – false alarm"),"FP",IF(P165="Duplicate","Duplicate",IF(P165="Late (real act)","Late","Excluded"))))))</f>
        <v/>
      </c>
      <c r="R165" s="47" t="n"/>
      <c r="S165" s="43" t="n"/>
      <c r="T165" s="43" t="n"/>
      <c r="U165" s="43" t="n"/>
      <c r="V165" s="47" t="n"/>
      <c r="W165" s="47" t="n"/>
      <c r="X165" s="52" t="n"/>
      <c r="Y165" s="43" t="n"/>
      <c r="Z165" s="55">
        <f>IF(OR(Y165="",Q165=""),"",IF(Y165=Q165,"OK","MISMATCH"))</f>
        <v/>
      </c>
      <c r="AA165" s="43" t="n"/>
    </row>
    <row r="166" ht="15" customHeight="1" s="35">
      <c r="A166" s="43" t="n"/>
      <c r="B166" s="47" t="n"/>
      <c r="C166" s="47" t="n"/>
      <c r="D166" s="47" t="n"/>
      <c r="E166" s="43" t="n"/>
      <c r="F166" s="52" t="n"/>
      <c r="G166" s="43" t="n"/>
      <c r="H166" s="51" t="n"/>
      <c r="I166" s="53">
        <f>IF(B166&lt;&gt;"Expected","",IF(C166="Parking Obstruction",IF(G166="Validation",Settings!$B$9,Settings!$B$8),IF(C166="Drinking",IF(G166="Validation",Settings!$B$11,Settings!$B$10),0)))</f>
        <v/>
      </c>
      <c r="J166" s="54">
        <f>IF(OR(B166&lt;&gt;"Expected",D166&lt;&gt;"Violation",H166=""),"",H166+I166+Settings!$B$5)</f>
        <v/>
      </c>
      <c r="K166" s="43" t="n"/>
      <c r="L166" s="51" t="n"/>
      <c r="M166" s="43" t="n"/>
      <c r="N166" s="54">
        <f>IF(AND(B166="Expected",D166="Violation",K166&lt;&gt;"",ISNUMBER(L166),ISNUMBER(H166)),L166-H166-I166,"")</f>
        <v/>
      </c>
      <c r="O166" s="43" t="n"/>
      <c r="P166" s="47" t="n"/>
      <c r="Q166" s="55">
        <f>IF(A166="","",IF(B166="Expected",IF(D166="Violation",IF(H166="","Needs start",IF(AND(K166&lt;&gt;"",OR(M166&lt;&gt;"Monitoring",Settings!$B$7="Yes"),ISNUMBER(L166),L166&lt;=J166),"TP","FN")),IF(AND(K166&lt;&gt;"",OR(M166&lt;&gt;"Monitoring",Settings!$B$7="Yes")),"FP","TN")),IF(P166="","Needs tag",IF(OR(P166="False alarm",P166="Unscripted – false alarm"),"FP",IF(P166="Duplicate","Duplicate",IF(P166="Late (real act)","Late","Excluded"))))))</f>
        <v/>
      </c>
      <c r="R166" s="47" t="n"/>
      <c r="S166" s="43" t="n"/>
      <c r="T166" s="43" t="n"/>
      <c r="U166" s="43" t="n"/>
      <c r="V166" s="47" t="n"/>
      <c r="W166" s="47" t="n"/>
      <c r="X166" s="52" t="n"/>
      <c r="Y166" s="43" t="n"/>
      <c r="Z166" s="55">
        <f>IF(OR(Y166="",Q166=""),"",IF(Y166=Q166,"OK","MISMATCH"))</f>
        <v/>
      </c>
      <c r="AA166" s="43" t="n"/>
    </row>
    <row r="167" ht="15" customHeight="1" s="35">
      <c r="A167" s="43" t="n"/>
      <c r="B167" s="47" t="n"/>
      <c r="C167" s="47" t="n"/>
      <c r="D167" s="47" t="n"/>
      <c r="E167" s="43" t="n"/>
      <c r="F167" s="52" t="n"/>
      <c r="G167" s="43" t="n"/>
      <c r="H167" s="51" t="n"/>
      <c r="I167" s="53">
        <f>IF(B167&lt;&gt;"Expected","",IF(C167="Parking Obstruction",IF(G167="Validation",Settings!$B$9,Settings!$B$8),IF(C167="Drinking",IF(G167="Validation",Settings!$B$11,Settings!$B$10),0)))</f>
        <v/>
      </c>
      <c r="J167" s="54">
        <f>IF(OR(B167&lt;&gt;"Expected",D167&lt;&gt;"Violation",H167=""),"",H167+I167+Settings!$B$5)</f>
        <v/>
      </c>
      <c r="K167" s="43" t="n"/>
      <c r="L167" s="51" t="n"/>
      <c r="M167" s="43" t="n"/>
      <c r="N167" s="54">
        <f>IF(AND(B167="Expected",D167="Violation",K167&lt;&gt;"",ISNUMBER(L167),ISNUMBER(H167)),L167-H167-I167,"")</f>
        <v/>
      </c>
      <c r="O167" s="43" t="n"/>
      <c r="P167" s="47" t="n"/>
      <c r="Q167" s="55">
        <f>IF(A167="","",IF(B167="Expected",IF(D167="Violation",IF(H167="","Needs start",IF(AND(K167&lt;&gt;"",OR(M167&lt;&gt;"Monitoring",Settings!$B$7="Yes"),ISNUMBER(L167),L167&lt;=J167),"TP","FN")),IF(AND(K167&lt;&gt;"",OR(M167&lt;&gt;"Monitoring",Settings!$B$7="Yes")),"FP","TN")),IF(P167="","Needs tag",IF(OR(P167="False alarm",P167="Unscripted – false alarm"),"FP",IF(P167="Duplicate","Duplicate",IF(P167="Late (real act)","Late","Excluded"))))))</f>
        <v/>
      </c>
      <c r="R167" s="47" t="n"/>
      <c r="S167" s="43" t="n"/>
      <c r="T167" s="43" t="n"/>
      <c r="U167" s="43" t="n"/>
      <c r="V167" s="47" t="n"/>
      <c r="W167" s="47" t="n"/>
      <c r="X167" s="52" t="n"/>
      <c r="Y167" s="43" t="n"/>
      <c r="Z167" s="55">
        <f>IF(OR(Y167="",Q167=""),"",IF(Y167=Q167,"OK","MISMATCH"))</f>
        <v/>
      </c>
      <c r="AA167" s="43" t="n"/>
    </row>
    <row r="168" ht="15" customHeight="1" s="35">
      <c r="A168" s="43" t="n"/>
      <c r="B168" s="47" t="n"/>
      <c r="C168" s="47" t="n"/>
      <c r="D168" s="47" t="n"/>
      <c r="E168" s="43" t="n"/>
      <c r="F168" s="52" t="n"/>
      <c r="G168" s="43" t="n"/>
      <c r="H168" s="51" t="n"/>
      <c r="I168" s="53">
        <f>IF(B168&lt;&gt;"Expected","",IF(C168="Parking Obstruction",IF(G168="Validation",Settings!$B$9,Settings!$B$8),IF(C168="Drinking",IF(G168="Validation",Settings!$B$11,Settings!$B$10),0)))</f>
        <v/>
      </c>
      <c r="J168" s="54">
        <f>IF(OR(B168&lt;&gt;"Expected",D168&lt;&gt;"Violation",H168=""),"",H168+I168+Settings!$B$5)</f>
        <v/>
      </c>
      <c r="K168" s="43" t="n"/>
      <c r="L168" s="51" t="n"/>
      <c r="M168" s="43" t="n"/>
      <c r="N168" s="54">
        <f>IF(AND(B168="Expected",D168="Violation",K168&lt;&gt;"",ISNUMBER(L168),ISNUMBER(H168)),L168-H168-I168,"")</f>
        <v/>
      </c>
      <c r="O168" s="43" t="n"/>
      <c r="P168" s="47" t="n"/>
      <c r="Q168" s="55">
        <f>IF(A168="","",IF(B168="Expected",IF(D168="Violation",IF(H168="","Needs start",IF(AND(K168&lt;&gt;"",OR(M168&lt;&gt;"Monitoring",Settings!$B$7="Yes"),ISNUMBER(L168),L168&lt;=J168),"TP","FN")),IF(AND(K168&lt;&gt;"",OR(M168&lt;&gt;"Monitoring",Settings!$B$7="Yes")),"FP","TN")),IF(P168="","Needs tag",IF(OR(P168="False alarm",P168="Unscripted – false alarm"),"FP",IF(P168="Duplicate","Duplicate",IF(P168="Late (real act)","Late","Excluded"))))))</f>
        <v/>
      </c>
      <c r="R168" s="47" t="n"/>
      <c r="S168" s="43" t="n"/>
      <c r="T168" s="43" t="n"/>
      <c r="U168" s="43" t="n"/>
      <c r="V168" s="47" t="n"/>
      <c r="W168" s="47" t="n"/>
      <c r="X168" s="52" t="n"/>
      <c r="Y168" s="43" t="n"/>
      <c r="Z168" s="55">
        <f>IF(OR(Y168="",Q168=""),"",IF(Y168=Q168,"OK","MISMATCH"))</f>
        <v/>
      </c>
      <c r="AA168" s="43" t="n"/>
    </row>
    <row r="169" ht="15" customHeight="1" s="35">
      <c r="A169" s="43" t="n"/>
      <c r="B169" s="47" t="n"/>
      <c r="C169" s="47" t="n"/>
      <c r="D169" s="47" t="n"/>
      <c r="E169" s="43" t="n"/>
      <c r="F169" s="52" t="n"/>
      <c r="G169" s="43" t="n"/>
      <c r="H169" s="51" t="n"/>
      <c r="I169" s="53">
        <f>IF(B169&lt;&gt;"Expected","",IF(C169="Parking Obstruction",IF(G169="Validation",Settings!$B$9,Settings!$B$8),IF(C169="Drinking",IF(G169="Validation",Settings!$B$11,Settings!$B$10),0)))</f>
        <v/>
      </c>
      <c r="J169" s="54">
        <f>IF(OR(B169&lt;&gt;"Expected",D169&lt;&gt;"Violation",H169=""),"",H169+I169+Settings!$B$5)</f>
        <v/>
      </c>
      <c r="K169" s="43" t="n"/>
      <c r="L169" s="51" t="n"/>
      <c r="M169" s="43" t="n"/>
      <c r="N169" s="54">
        <f>IF(AND(B169="Expected",D169="Violation",K169&lt;&gt;"",ISNUMBER(L169),ISNUMBER(H169)),L169-H169-I169,"")</f>
        <v/>
      </c>
      <c r="O169" s="43" t="n"/>
      <c r="P169" s="47" t="n"/>
      <c r="Q169" s="55">
        <f>IF(A169="","",IF(B169="Expected",IF(D169="Violation",IF(H169="","Needs start",IF(AND(K169&lt;&gt;"",OR(M169&lt;&gt;"Monitoring",Settings!$B$7="Yes"),ISNUMBER(L169),L169&lt;=J169),"TP","FN")),IF(AND(K169&lt;&gt;"",OR(M169&lt;&gt;"Monitoring",Settings!$B$7="Yes")),"FP","TN")),IF(P169="","Needs tag",IF(OR(P169="False alarm",P169="Unscripted – false alarm"),"FP",IF(P169="Duplicate","Duplicate",IF(P169="Late (real act)","Late","Excluded"))))))</f>
        <v/>
      </c>
      <c r="R169" s="47" t="n"/>
      <c r="S169" s="43" t="n"/>
      <c r="T169" s="43" t="n"/>
      <c r="U169" s="43" t="n"/>
      <c r="V169" s="47" t="n"/>
      <c r="W169" s="47" t="n"/>
      <c r="X169" s="52" t="n"/>
      <c r="Y169" s="43" t="n"/>
      <c r="Z169" s="55">
        <f>IF(OR(Y169="",Q169=""),"",IF(Y169=Q169,"OK","MISMATCH"))</f>
        <v/>
      </c>
      <c r="AA169" s="43" t="n"/>
    </row>
    <row r="170" ht="15" customHeight="1" s="35">
      <c r="A170" s="43" t="n"/>
      <c r="B170" s="47" t="n"/>
      <c r="C170" s="47" t="n"/>
      <c r="D170" s="47" t="n"/>
      <c r="E170" s="43" t="n"/>
      <c r="F170" s="52" t="n"/>
      <c r="G170" s="43" t="n"/>
      <c r="H170" s="51" t="n"/>
      <c r="I170" s="53">
        <f>IF(B170&lt;&gt;"Expected","",IF(C170="Parking Obstruction",IF(G170="Validation",Settings!$B$9,Settings!$B$8),IF(C170="Drinking",IF(G170="Validation",Settings!$B$11,Settings!$B$10),0)))</f>
        <v/>
      </c>
      <c r="J170" s="54">
        <f>IF(OR(B170&lt;&gt;"Expected",D170&lt;&gt;"Violation",H170=""),"",H170+I170+Settings!$B$5)</f>
        <v/>
      </c>
      <c r="K170" s="43" t="n"/>
      <c r="L170" s="51" t="n"/>
      <c r="M170" s="43" t="n"/>
      <c r="N170" s="54">
        <f>IF(AND(B170="Expected",D170="Violation",K170&lt;&gt;"",ISNUMBER(L170),ISNUMBER(H170)),L170-H170-I170,"")</f>
        <v/>
      </c>
      <c r="O170" s="43" t="n"/>
      <c r="P170" s="47" t="n"/>
      <c r="Q170" s="55">
        <f>IF(A170="","",IF(B170="Expected",IF(D170="Violation",IF(H170="","Needs start",IF(AND(K170&lt;&gt;"",OR(M170&lt;&gt;"Monitoring",Settings!$B$7="Yes"),ISNUMBER(L170),L170&lt;=J170),"TP","FN")),IF(AND(K170&lt;&gt;"",OR(M170&lt;&gt;"Monitoring",Settings!$B$7="Yes")),"FP","TN")),IF(P170="","Needs tag",IF(OR(P170="False alarm",P170="Unscripted – false alarm"),"FP",IF(P170="Duplicate","Duplicate",IF(P170="Late (real act)","Late","Excluded"))))))</f>
        <v/>
      </c>
      <c r="R170" s="47" t="n"/>
      <c r="S170" s="43" t="n"/>
      <c r="T170" s="43" t="n"/>
      <c r="U170" s="43" t="n"/>
      <c r="V170" s="47" t="n"/>
      <c r="W170" s="47" t="n"/>
      <c r="X170" s="52" t="n"/>
      <c r="Y170" s="43" t="n"/>
      <c r="Z170" s="55">
        <f>IF(OR(Y170="",Q170=""),"",IF(Y170=Q170,"OK","MISMATCH"))</f>
        <v/>
      </c>
      <c r="AA170" s="43" t="n"/>
    </row>
    <row r="171" ht="15" customHeight="1" s="35">
      <c r="A171" s="43" t="n"/>
      <c r="B171" s="47" t="n"/>
      <c r="C171" s="47" t="n"/>
      <c r="D171" s="47" t="n"/>
      <c r="E171" s="43" t="n"/>
      <c r="F171" s="52" t="n"/>
      <c r="G171" s="43" t="n"/>
      <c r="H171" s="51" t="n"/>
      <c r="I171" s="53">
        <f>IF(B171&lt;&gt;"Expected","",IF(C171="Parking Obstruction",IF(G171="Validation",Settings!$B$9,Settings!$B$8),IF(C171="Drinking",IF(G171="Validation",Settings!$B$11,Settings!$B$10),0)))</f>
        <v/>
      </c>
      <c r="J171" s="54">
        <f>IF(OR(B171&lt;&gt;"Expected",D171&lt;&gt;"Violation",H171=""),"",H171+I171+Settings!$B$5)</f>
        <v/>
      </c>
      <c r="K171" s="43" t="n"/>
      <c r="L171" s="51" t="n"/>
      <c r="M171" s="43" t="n"/>
      <c r="N171" s="54">
        <f>IF(AND(B171="Expected",D171="Violation",K171&lt;&gt;"",ISNUMBER(L171),ISNUMBER(H171)),L171-H171-I171,"")</f>
        <v/>
      </c>
      <c r="O171" s="43" t="n"/>
      <c r="P171" s="47" t="n"/>
      <c r="Q171" s="55">
        <f>IF(A171="","",IF(B171="Expected",IF(D171="Violation",IF(H171="","Needs start",IF(AND(K171&lt;&gt;"",OR(M171&lt;&gt;"Monitoring",Settings!$B$7="Yes"),ISNUMBER(L171),L171&lt;=J171),"TP","FN")),IF(AND(K171&lt;&gt;"",OR(M171&lt;&gt;"Monitoring",Settings!$B$7="Yes")),"FP","TN")),IF(P171="","Needs tag",IF(OR(P171="False alarm",P171="Unscripted – false alarm"),"FP",IF(P171="Duplicate","Duplicate",IF(P171="Late (real act)","Late","Excluded"))))))</f>
        <v/>
      </c>
      <c r="R171" s="47" t="n"/>
      <c r="S171" s="43" t="n"/>
      <c r="T171" s="43" t="n"/>
      <c r="U171" s="43" t="n"/>
      <c r="V171" s="47" t="n"/>
      <c r="W171" s="47" t="n"/>
      <c r="X171" s="52" t="n"/>
      <c r="Y171" s="43" t="n"/>
      <c r="Z171" s="55">
        <f>IF(OR(Y171="",Q171=""),"",IF(Y171=Q171,"OK","MISMATCH"))</f>
        <v/>
      </c>
      <c r="AA171" s="43" t="n"/>
    </row>
    <row r="172" ht="15" customHeight="1" s="35">
      <c r="A172" s="43" t="n"/>
      <c r="B172" s="47" t="n"/>
      <c r="C172" s="47" t="n"/>
      <c r="D172" s="47" t="n"/>
      <c r="E172" s="43" t="n"/>
      <c r="F172" s="52" t="n"/>
      <c r="G172" s="43" t="n"/>
      <c r="H172" s="51" t="n"/>
      <c r="I172" s="53">
        <f>IF(B172&lt;&gt;"Expected","",IF(C172="Parking Obstruction",IF(G172="Validation",Settings!$B$9,Settings!$B$8),IF(C172="Drinking",IF(G172="Validation",Settings!$B$11,Settings!$B$10),0)))</f>
        <v/>
      </c>
      <c r="J172" s="54">
        <f>IF(OR(B172&lt;&gt;"Expected",D172&lt;&gt;"Violation",H172=""),"",H172+I172+Settings!$B$5)</f>
        <v/>
      </c>
      <c r="K172" s="43" t="n"/>
      <c r="L172" s="51" t="n"/>
      <c r="M172" s="43" t="n"/>
      <c r="N172" s="54">
        <f>IF(AND(B172="Expected",D172="Violation",K172&lt;&gt;"",ISNUMBER(L172),ISNUMBER(H172)),L172-H172-I172,"")</f>
        <v/>
      </c>
      <c r="O172" s="43" t="n"/>
      <c r="P172" s="47" t="n"/>
      <c r="Q172" s="55">
        <f>IF(A172="","",IF(B172="Expected",IF(D172="Violation",IF(H172="","Needs start",IF(AND(K172&lt;&gt;"",OR(M172&lt;&gt;"Monitoring",Settings!$B$7="Yes"),ISNUMBER(L172),L172&lt;=J172),"TP","FN")),IF(AND(K172&lt;&gt;"",OR(M172&lt;&gt;"Monitoring",Settings!$B$7="Yes")),"FP","TN")),IF(P172="","Needs tag",IF(OR(P172="False alarm",P172="Unscripted – false alarm"),"FP",IF(P172="Duplicate","Duplicate",IF(P172="Late (real act)","Late","Excluded"))))))</f>
        <v/>
      </c>
      <c r="R172" s="47" t="n"/>
      <c r="S172" s="43" t="n"/>
      <c r="T172" s="43" t="n"/>
      <c r="U172" s="43" t="n"/>
      <c r="V172" s="47" t="n"/>
      <c r="W172" s="47" t="n"/>
      <c r="X172" s="52" t="n"/>
      <c r="Y172" s="43" t="n"/>
      <c r="Z172" s="55">
        <f>IF(OR(Y172="",Q172=""),"",IF(Y172=Q172,"OK","MISMATCH"))</f>
        <v/>
      </c>
      <c r="AA172" s="43" t="n"/>
    </row>
    <row r="173" ht="15" customHeight="1" s="35">
      <c r="A173" s="43" t="n"/>
      <c r="B173" s="47" t="n"/>
      <c r="C173" s="47" t="n"/>
      <c r="D173" s="47" t="n"/>
      <c r="E173" s="43" t="n"/>
      <c r="F173" s="52" t="n"/>
      <c r="G173" s="43" t="n"/>
      <c r="H173" s="51" t="n"/>
      <c r="I173" s="53">
        <f>IF(B173&lt;&gt;"Expected","",IF(C173="Parking Obstruction",IF(G173="Validation",Settings!$B$9,Settings!$B$8),IF(C173="Drinking",IF(G173="Validation",Settings!$B$11,Settings!$B$10),0)))</f>
        <v/>
      </c>
      <c r="J173" s="54">
        <f>IF(OR(B173&lt;&gt;"Expected",D173&lt;&gt;"Violation",H173=""),"",H173+I173+Settings!$B$5)</f>
        <v/>
      </c>
      <c r="K173" s="43" t="n"/>
      <c r="L173" s="51" t="n"/>
      <c r="M173" s="43" t="n"/>
      <c r="N173" s="54">
        <f>IF(AND(B173="Expected",D173="Violation",K173&lt;&gt;"",ISNUMBER(L173),ISNUMBER(H173)),L173-H173-I173,"")</f>
        <v/>
      </c>
      <c r="O173" s="43" t="n"/>
      <c r="P173" s="47" t="n"/>
      <c r="Q173" s="55">
        <f>IF(A173="","",IF(B173="Expected",IF(D173="Violation",IF(H173="","Needs start",IF(AND(K173&lt;&gt;"",OR(M173&lt;&gt;"Monitoring",Settings!$B$7="Yes"),ISNUMBER(L173),L173&lt;=J173),"TP","FN")),IF(AND(K173&lt;&gt;"",OR(M173&lt;&gt;"Monitoring",Settings!$B$7="Yes")),"FP","TN")),IF(P173="","Needs tag",IF(OR(P173="False alarm",P173="Unscripted – false alarm"),"FP",IF(P173="Duplicate","Duplicate",IF(P173="Late (real act)","Late","Excluded"))))))</f>
        <v/>
      </c>
      <c r="R173" s="47" t="n"/>
      <c r="S173" s="43" t="n"/>
      <c r="T173" s="43" t="n"/>
      <c r="U173" s="43" t="n"/>
      <c r="V173" s="47" t="n"/>
      <c r="W173" s="47" t="n"/>
      <c r="X173" s="52" t="n"/>
      <c r="Y173" s="43" t="n"/>
      <c r="Z173" s="55">
        <f>IF(OR(Y173="",Q173=""),"",IF(Y173=Q173,"OK","MISMATCH"))</f>
        <v/>
      </c>
      <c r="AA173" s="43" t="n"/>
    </row>
    <row r="174" ht="15" customHeight="1" s="35">
      <c r="A174" s="43" t="n"/>
      <c r="B174" s="47" t="n"/>
      <c r="C174" s="47" t="n"/>
      <c r="D174" s="47" t="n"/>
      <c r="E174" s="43" t="n"/>
      <c r="F174" s="52" t="n"/>
      <c r="G174" s="43" t="n"/>
      <c r="H174" s="51" t="n"/>
      <c r="I174" s="53">
        <f>IF(B174&lt;&gt;"Expected","",IF(C174="Parking Obstruction",IF(G174="Validation",Settings!$B$9,Settings!$B$8),IF(C174="Drinking",IF(G174="Validation",Settings!$B$11,Settings!$B$10),0)))</f>
        <v/>
      </c>
      <c r="J174" s="54">
        <f>IF(OR(B174&lt;&gt;"Expected",D174&lt;&gt;"Violation",H174=""),"",H174+I174+Settings!$B$5)</f>
        <v/>
      </c>
      <c r="K174" s="43" t="n"/>
      <c r="L174" s="51" t="n"/>
      <c r="M174" s="43" t="n"/>
      <c r="N174" s="54">
        <f>IF(AND(B174="Expected",D174="Violation",K174&lt;&gt;"",ISNUMBER(L174),ISNUMBER(H174)),L174-H174-I174,"")</f>
        <v/>
      </c>
      <c r="O174" s="43" t="n"/>
      <c r="P174" s="47" t="n"/>
      <c r="Q174" s="55">
        <f>IF(A174="","",IF(B174="Expected",IF(D174="Violation",IF(H174="","Needs start",IF(AND(K174&lt;&gt;"",OR(M174&lt;&gt;"Monitoring",Settings!$B$7="Yes"),ISNUMBER(L174),L174&lt;=J174),"TP","FN")),IF(AND(K174&lt;&gt;"",OR(M174&lt;&gt;"Monitoring",Settings!$B$7="Yes")),"FP","TN")),IF(P174="","Needs tag",IF(OR(P174="False alarm",P174="Unscripted – false alarm"),"FP",IF(P174="Duplicate","Duplicate",IF(P174="Late (real act)","Late","Excluded"))))))</f>
        <v/>
      </c>
      <c r="R174" s="47" t="n"/>
      <c r="S174" s="43" t="n"/>
      <c r="T174" s="43" t="n"/>
      <c r="U174" s="43" t="n"/>
      <c r="V174" s="47" t="n"/>
      <c r="W174" s="47" t="n"/>
      <c r="X174" s="52" t="n"/>
      <c r="Y174" s="43" t="n"/>
      <c r="Z174" s="55">
        <f>IF(OR(Y174="",Q174=""),"",IF(Y174=Q174,"OK","MISMATCH"))</f>
        <v/>
      </c>
      <c r="AA174" s="43" t="n"/>
    </row>
    <row r="175" ht="15" customHeight="1" s="35">
      <c r="A175" s="43" t="n"/>
      <c r="B175" s="47" t="n"/>
      <c r="C175" s="47" t="n"/>
      <c r="D175" s="47" t="n"/>
      <c r="E175" s="43" t="n"/>
      <c r="F175" s="52" t="n"/>
      <c r="G175" s="43" t="n"/>
      <c r="H175" s="51" t="n"/>
      <c r="I175" s="53">
        <f>IF(B175&lt;&gt;"Expected","",IF(C175="Parking Obstruction",IF(G175="Validation",Settings!$B$9,Settings!$B$8),IF(C175="Drinking",IF(G175="Validation",Settings!$B$11,Settings!$B$10),0)))</f>
        <v/>
      </c>
      <c r="J175" s="54">
        <f>IF(OR(B175&lt;&gt;"Expected",D175&lt;&gt;"Violation",H175=""),"",H175+I175+Settings!$B$5)</f>
        <v/>
      </c>
      <c r="K175" s="43" t="n"/>
      <c r="L175" s="51" t="n"/>
      <c r="M175" s="43" t="n"/>
      <c r="N175" s="54">
        <f>IF(AND(B175="Expected",D175="Violation",K175&lt;&gt;"",ISNUMBER(L175),ISNUMBER(H175)),L175-H175-I175,"")</f>
        <v/>
      </c>
      <c r="O175" s="43" t="n"/>
      <c r="P175" s="47" t="n"/>
      <c r="Q175" s="55">
        <f>IF(A175="","",IF(B175="Expected",IF(D175="Violation",IF(H175="","Needs start",IF(AND(K175&lt;&gt;"",OR(M175&lt;&gt;"Monitoring",Settings!$B$7="Yes"),ISNUMBER(L175),L175&lt;=J175),"TP","FN")),IF(AND(K175&lt;&gt;"",OR(M175&lt;&gt;"Monitoring",Settings!$B$7="Yes")),"FP","TN")),IF(P175="","Needs tag",IF(OR(P175="False alarm",P175="Unscripted – false alarm"),"FP",IF(P175="Duplicate","Duplicate",IF(P175="Late (real act)","Late","Excluded"))))))</f>
        <v/>
      </c>
      <c r="R175" s="47" t="n"/>
      <c r="S175" s="43" t="n"/>
      <c r="T175" s="43" t="n"/>
      <c r="U175" s="43" t="n"/>
      <c r="V175" s="47" t="n"/>
      <c r="W175" s="47" t="n"/>
      <c r="X175" s="52" t="n"/>
      <c r="Y175" s="43" t="n"/>
      <c r="Z175" s="55">
        <f>IF(OR(Y175="",Q175=""),"",IF(Y175=Q175,"OK","MISMATCH"))</f>
        <v/>
      </c>
      <c r="AA175" s="43" t="n"/>
    </row>
    <row r="176" ht="15" customHeight="1" s="35">
      <c r="A176" s="43" t="n"/>
      <c r="B176" s="47" t="n"/>
      <c r="C176" s="47" t="n"/>
      <c r="D176" s="47" t="n"/>
      <c r="E176" s="43" t="n"/>
      <c r="F176" s="52" t="n"/>
      <c r="G176" s="43" t="n"/>
      <c r="H176" s="51" t="n"/>
      <c r="I176" s="53">
        <f>IF(B176&lt;&gt;"Expected","",IF(C176="Parking Obstruction",IF(G176="Validation",Settings!$B$9,Settings!$B$8),IF(C176="Drinking",IF(G176="Validation",Settings!$B$11,Settings!$B$10),0)))</f>
        <v/>
      </c>
      <c r="J176" s="54">
        <f>IF(OR(B176&lt;&gt;"Expected",D176&lt;&gt;"Violation",H176=""),"",H176+I176+Settings!$B$5)</f>
        <v/>
      </c>
      <c r="K176" s="43" t="n"/>
      <c r="L176" s="51" t="n"/>
      <c r="M176" s="43" t="n"/>
      <c r="N176" s="54">
        <f>IF(AND(B176="Expected",D176="Violation",K176&lt;&gt;"",ISNUMBER(L176),ISNUMBER(H176)),L176-H176-I176,"")</f>
        <v/>
      </c>
      <c r="O176" s="43" t="n"/>
      <c r="P176" s="47" t="n"/>
      <c r="Q176" s="55">
        <f>IF(A176="","",IF(B176="Expected",IF(D176="Violation",IF(H176="","Needs start",IF(AND(K176&lt;&gt;"",OR(M176&lt;&gt;"Monitoring",Settings!$B$7="Yes"),ISNUMBER(L176),L176&lt;=J176),"TP","FN")),IF(AND(K176&lt;&gt;"",OR(M176&lt;&gt;"Monitoring",Settings!$B$7="Yes")),"FP","TN")),IF(P176="","Needs tag",IF(OR(P176="False alarm",P176="Unscripted – false alarm"),"FP",IF(P176="Duplicate","Duplicate",IF(P176="Late (real act)","Late","Excluded"))))))</f>
        <v/>
      </c>
      <c r="R176" s="47" t="n"/>
      <c r="S176" s="43" t="n"/>
      <c r="T176" s="43" t="n"/>
      <c r="U176" s="43" t="n"/>
      <c r="V176" s="47" t="n"/>
      <c r="W176" s="47" t="n"/>
      <c r="X176" s="52" t="n"/>
      <c r="Y176" s="43" t="n"/>
      <c r="Z176" s="55">
        <f>IF(OR(Y176="",Q176=""),"",IF(Y176=Q176,"OK","MISMATCH"))</f>
        <v/>
      </c>
      <c r="AA176" s="43" t="n"/>
    </row>
    <row r="177" ht="15" customHeight="1" s="35">
      <c r="A177" s="43" t="n"/>
      <c r="B177" s="47" t="n"/>
      <c r="C177" s="47" t="n"/>
      <c r="D177" s="47" t="n"/>
      <c r="E177" s="43" t="n"/>
      <c r="F177" s="52" t="n"/>
      <c r="G177" s="43" t="n"/>
      <c r="H177" s="51" t="n"/>
      <c r="I177" s="53">
        <f>IF(B177&lt;&gt;"Expected","",IF(C177="Parking Obstruction",IF(G177="Validation",Settings!$B$9,Settings!$B$8),IF(C177="Drinking",IF(G177="Validation",Settings!$B$11,Settings!$B$10),0)))</f>
        <v/>
      </c>
      <c r="J177" s="54">
        <f>IF(OR(B177&lt;&gt;"Expected",D177&lt;&gt;"Violation",H177=""),"",H177+I177+Settings!$B$5)</f>
        <v/>
      </c>
      <c r="K177" s="43" t="n"/>
      <c r="L177" s="51" t="n"/>
      <c r="M177" s="43" t="n"/>
      <c r="N177" s="54">
        <f>IF(AND(B177="Expected",D177="Violation",K177&lt;&gt;"",ISNUMBER(L177),ISNUMBER(H177)),L177-H177-I177,"")</f>
        <v/>
      </c>
      <c r="O177" s="43" t="n"/>
      <c r="P177" s="47" t="n"/>
      <c r="Q177" s="55">
        <f>IF(A177="","",IF(B177="Expected",IF(D177="Violation",IF(H177="","Needs start",IF(AND(K177&lt;&gt;"",OR(M177&lt;&gt;"Monitoring",Settings!$B$7="Yes"),ISNUMBER(L177),L177&lt;=J177),"TP","FN")),IF(AND(K177&lt;&gt;"",OR(M177&lt;&gt;"Monitoring",Settings!$B$7="Yes")),"FP","TN")),IF(P177="","Needs tag",IF(OR(P177="False alarm",P177="Unscripted – false alarm"),"FP",IF(P177="Duplicate","Duplicate",IF(P177="Late (real act)","Late","Excluded"))))))</f>
        <v/>
      </c>
      <c r="R177" s="47" t="n"/>
      <c r="S177" s="43" t="n"/>
      <c r="T177" s="43" t="n"/>
      <c r="U177" s="43" t="n"/>
      <c r="V177" s="47" t="n"/>
      <c r="W177" s="47" t="n"/>
      <c r="X177" s="52" t="n"/>
      <c r="Y177" s="43" t="n"/>
      <c r="Z177" s="55">
        <f>IF(OR(Y177="",Q177=""),"",IF(Y177=Q177,"OK","MISMATCH"))</f>
        <v/>
      </c>
      <c r="AA177" s="43" t="n"/>
    </row>
    <row r="178" ht="15" customHeight="1" s="35">
      <c r="A178" s="43" t="n"/>
      <c r="B178" s="47" t="n"/>
      <c r="C178" s="47" t="n"/>
      <c r="D178" s="47" t="n"/>
      <c r="E178" s="43" t="n"/>
      <c r="F178" s="52" t="n"/>
      <c r="G178" s="43" t="n"/>
      <c r="H178" s="51" t="n"/>
      <c r="I178" s="53">
        <f>IF(B178&lt;&gt;"Expected","",IF(C178="Parking Obstruction",IF(G178="Validation",Settings!$B$9,Settings!$B$8),IF(C178="Drinking",IF(G178="Validation",Settings!$B$11,Settings!$B$10),0)))</f>
        <v/>
      </c>
      <c r="J178" s="54">
        <f>IF(OR(B178&lt;&gt;"Expected",D178&lt;&gt;"Violation",H178=""),"",H178+I178+Settings!$B$5)</f>
        <v/>
      </c>
      <c r="K178" s="43" t="n"/>
      <c r="L178" s="51" t="n"/>
      <c r="M178" s="43" t="n"/>
      <c r="N178" s="54">
        <f>IF(AND(B178="Expected",D178="Violation",K178&lt;&gt;"",ISNUMBER(L178),ISNUMBER(H178)),L178-H178-I178,"")</f>
        <v/>
      </c>
      <c r="O178" s="43" t="n"/>
      <c r="P178" s="47" t="n"/>
      <c r="Q178" s="55">
        <f>IF(A178="","",IF(B178="Expected",IF(D178="Violation",IF(H178="","Needs start",IF(AND(K178&lt;&gt;"",OR(M178&lt;&gt;"Monitoring",Settings!$B$7="Yes"),ISNUMBER(L178),L178&lt;=J178),"TP","FN")),IF(AND(K178&lt;&gt;"",OR(M178&lt;&gt;"Monitoring",Settings!$B$7="Yes")),"FP","TN")),IF(P178="","Needs tag",IF(OR(P178="False alarm",P178="Unscripted – false alarm"),"FP",IF(P178="Duplicate","Duplicate",IF(P178="Late (real act)","Late","Excluded"))))))</f>
        <v/>
      </c>
      <c r="R178" s="47" t="n"/>
      <c r="S178" s="43" t="n"/>
      <c r="T178" s="43" t="n"/>
      <c r="U178" s="43" t="n"/>
      <c r="V178" s="47" t="n"/>
      <c r="W178" s="47" t="n"/>
      <c r="X178" s="52" t="n"/>
      <c r="Y178" s="43" t="n"/>
      <c r="Z178" s="55">
        <f>IF(OR(Y178="",Q178=""),"",IF(Y178=Q178,"OK","MISMATCH"))</f>
        <v/>
      </c>
      <c r="AA178" s="43" t="n"/>
    </row>
    <row r="179" ht="15" customHeight="1" s="35">
      <c r="A179" s="43" t="n"/>
      <c r="B179" s="47" t="n"/>
      <c r="C179" s="47" t="n"/>
      <c r="D179" s="47" t="n"/>
      <c r="E179" s="43" t="n"/>
      <c r="F179" s="52" t="n"/>
      <c r="G179" s="43" t="n"/>
      <c r="H179" s="51" t="n"/>
      <c r="I179" s="53">
        <f>IF(B179&lt;&gt;"Expected","",IF(C179="Parking Obstruction",IF(G179="Validation",Settings!$B$9,Settings!$B$8),IF(C179="Drinking",IF(G179="Validation",Settings!$B$11,Settings!$B$10),0)))</f>
        <v/>
      </c>
      <c r="J179" s="54">
        <f>IF(OR(B179&lt;&gt;"Expected",D179&lt;&gt;"Violation",H179=""),"",H179+I179+Settings!$B$5)</f>
        <v/>
      </c>
      <c r="K179" s="43" t="n"/>
      <c r="L179" s="51" t="n"/>
      <c r="M179" s="43" t="n"/>
      <c r="N179" s="54">
        <f>IF(AND(B179="Expected",D179="Violation",K179&lt;&gt;"",ISNUMBER(L179),ISNUMBER(H179)),L179-H179-I179,"")</f>
        <v/>
      </c>
      <c r="O179" s="43" t="n"/>
      <c r="P179" s="47" t="n"/>
      <c r="Q179" s="55">
        <f>IF(A179="","",IF(B179="Expected",IF(D179="Violation",IF(H179="","Needs start",IF(AND(K179&lt;&gt;"",OR(M179&lt;&gt;"Monitoring",Settings!$B$7="Yes"),ISNUMBER(L179),L179&lt;=J179),"TP","FN")),IF(AND(K179&lt;&gt;"",OR(M179&lt;&gt;"Monitoring",Settings!$B$7="Yes")),"FP","TN")),IF(P179="","Needs tag",IF(OR(P179="False alarm",P179="Unscripted – false alarm"),"FP",IF(P179="Duplicate","Duplicate",IF(P179="Late (real act)","Late","Excluded"))))))</f>
        <v/>
      </c>
      <c r="R179" s="47" t="n"/>
      <c r="S179" s="43" t="n"/>
      <c r="T179" s="43" t="n"/>
      <c r="U179" s="43" t="n"/>
      <c r="V179" s="47" t="n"/>
      <c r="W179" s="47" t="n"/>
      <c r="X179" s="52" t="n"/>
      <c r="Y179" s="43" t="n"/>
      <c r="Z179" s="55">
        <f>IF(OR(Y179="",Q179=""),"",IF(Y179=Q179,"OK","MISMATCH"))</f>
        <v/>
      </c>
      <c r="AA179" s="43" t="n"/>
    </row>
    <row r="180" ht="15" customHeight="1" s="35">
      <c r="A180" s="43" t="n"/>
      <c r="B180" s="47" t="n"/>
      <c r="C180" s="47" t="n"/>
      <c r="D180" s="47" t="n"/>
      <c r="E180" s="43" t="n"/>
      <c r="F180" s="52" t="n"/>
      <c r="G180" s="43" t="n"/>
      <c r="H180" s="51" t="n"/>
      <c r="I180" s="53">
        <f>IF(B180&lt;&gt;"Expected","",IF(C180="Parking Obstruction",IF(G180="Validation",Settings!$B$9,Settings!$B$8),IF(C180="Drinking",IF(G180="Validation",Settings!$B$11,Settings!$B$10),0)))</f>
        <v/>
      </c>
      <c r="J180" s="54">
        <f>IF(OR(B180&lt;&gt;"Expected",D180&lt;&gt;"Violation",H180=""),"",H180+I180+Settings!$B$5)</f>
        <v/>
      </c>
      <c r="K180" s="43" t="n"/>
      <c r="L180" s="51" t="n"/>
      <c r="M180" s="43" t="n"/>
      <c r="N180" s="54">
        <f>IF(AND(B180="Expected",D180="Violation",K180&lt;&gt;"",ISNUMBER(L180),ISNUMBER(H180)),L180-H180-I180,"")</f>
        <v/>
      </c>
      <c r="O180" s="43" t="n"/>
      <c r="P180" s="47" t="n"/>
      <c r="Q180" s="55">
        <f>IF(A180="","",IF(B180="Expected",IF(D180="Violation",IF(H180="","Needs start",IF(AND(K180&lt;&gt;"",OR(M180&lt;&gt;"Monitoring",Settings!$B$7="Yes"),ISNUMBER(L180),L180&lt;=J180),"TP","FN")),IF(AND(K180&lt;&gt;"",OR(M180&lt;&gt;"Monitoring",Settings!$B$7="Yes")),"FP","TN")),IF(P180="","Needs tag",IF(OR(P180="False alarm",P180="Unscripted – false alarm"),"FP",IF(P180="Duplicate","Duplicate",IF(P180="Late (real act)","Late","Excluded"))))))</f>
        <v/>
      </c>
      <c r="R180" s="47" t="n"/>
      <c r="S180" s="43" t="n"/>
      <c r="T180" s="43" t="n"/>
      <c r="U180" s="43" t="n"/>
      <c r="V180" s="47" t="n"/>
      <c r="W180" s="47" t="n"/>
      <c r="X180" s="52" t="n"/>
      <c r="Y180" s="43" t="n"/>
      <c r="Z180" s="55">
        <f>IF(OR(Y180="",Q180=""),"",IF(Y180=Q180,"OK","MISMATCH"))</f>
        <v/>
      </c>
      <c r="AA180" s="43" t="n"/>
    </row>
    <row r="181" ht="15" customHeight="1" s="35">
      <c r="A181" s="43" t="n"/>
      <c r="B181" s="47" t="n"/>
      <c r="C181" s="47" t="n"/>
      <c r="D181" s="47" t="n"/>
      <c r="E181" s="43" t="n"/>
      <c r="F181" s="52" t="n"/>
      <c r="G181" s="43" t="n"/>
      <c r="H181" s="51" t="n"/>
      <c r="I181" s="53">
        <f>IF(B181&lt;&gt;"Expected","",IF(C181="Parking Obstruction",IF(G181="Validation",Settings!$B$9,Settings!$B$8),IF(C181="Drinking",IF(G181="Validation",Settings!$B$11,Settings!$B$10),0)))</f>
        <v/>
      </c>
      <c r="J181" s="54">
        <f>IF(OR(B181&lt;&gt;"Expected",D181&lt;&gt;"Violation",H181=""),"",H181+I181+Settings!$B$5)</f>
        <v/>
      </c>
      <c r="K181" s="43" t="n"/>
      <c r="L181" s="51" t="n"/>
      <c r="M181" s="43" t="n"/>
      <c r="N181" s="54">
        <f>IF(AND(B181="Expected",D181="Violation",K181&lt;&gt;"",ISNUMBER(L181),ISNUMBER(H181)),L181-H181-I181,"")</f>
        <v/>
      </c>
      <c r="O181" s="43" t="n"/>
      <c r="P181" s="47" t="n"/>
      <c r="Q181" s="55">
        <f>IF(A181="","",IF(B181="Expected",IF(D181="Violation",IF(H181="","Needs start",IF(AND(K181&lt;&gt;"",OR(M181&lt;&gt;"Monitoring",Settings!$B$7="Yes"),ISNUMBER(L181),L181&lt;=J181),"TP","FN")),IF(AND(K181&lt;&gt;"",OR(M181&lt;&gt;"Monitoring",Settings!$B$7="Yes")),"FP","TN")),IF(P181="","Needs tag",IF(OR(P181="False alarm",P181="Unscripted – false alarm"),"FP",IF(P181="Duplicate","Duplicate",IF(P181="Late (real act)","Late","Excluded"))))))</f>
        <v/>
      </c>
      <c r="R181" s="47" t="n"/>
      <c r="S181" s="43" t="n"/>
      <c r="T181" s="43" t="n"/>
      <c r="U181" s="43" t="n"/>
      <c r="V181" s="47" t="n"/>
      <c r="W181" s="47" t="n"/>
      <c r="X181" s="52" t="n"/>
      <c r="Y181" s="43" t="n"/>
      <c r="Z181" s="55">
        <f>IF(OR(Y181="",Q181=""),"",IF(Y181=Q181,"OK","MISMATCH"))</f>
        <v/>
      </c>
      <c r="AA181" s="43" t="n"/>
    </row>
    <row r="182" ht="15" customHeight="1" s="35">
      <c r="A182" s="43" t="n"/>
      <c r="B182" s="47" t="n"/>
      <c r="C182" s="47" t="n"/>
      <c r="D182" s="47" t="n"/>
      <c r="E182" s="43" t="n"/>
      <c r="F182" s="52" t="n"/>
      <c r="G182" s="43" t="n"/>
      <c r="H182" s="51" t="n"/>
      <c r="I182" s="53">
        <f>IF(B182&lt;&gt;"Expected","",IF(C182="Parking Obstruction",IF(G182="Validation",Settings!$B$9,Settings!$B$8),IF(C182="Drinking",IF(G182="Validation",Settings!$B$11,Settings!$B$10),0)))</f>
        <v/>
      </c>
      <c r="J182" s="54">
        <f>IF(OR(B182&lt;&gt;"Expected",D182&lt;&gt;"Violation",H182=""),"",H182+I182+Settings!$B$5)</f>
        <v/>
      </c>
      <c r="K182" s="43" t="n"/>
      <c r="L182" s="51" t="n"/>
      <c r="M182" s="43" t="n"/>
      <c r="N182" s="54">
        <f>IF(AND(B182="Expected",D182="Violation",K182&lt;&gt;"",ISNUMBER(L182),ISNUMBER(H182)),L182-H182-I182,"")</f>
        <v/>
      </c>
      <c r="O182" s="43" t="n"/>
      <c r="P182" s="47" t="n"/>
      <c r="Q182" s="55">
        <f>IF(A182="","",IF(B182="Expected",IF(D182="Violation",IF(H182="","Needs start",IF(AND(K182&lt;&gt;"",OR(M182&lt;&gt;"Monitoring",Settings!$B$7="Yes"),ISNUMBER(L182),L182&lt;=J182),"TP","FN")),IF(AND(K182&lt;&gt;"",OR(M182&lt;&gt;"Monitoring",Settings!$B$7="Yes")),"FP","TN")),IF(P182="","Needs tag",IF(OR(P182="False alarm",P182="Unscripted – false alarm"),"FP",IF(P182="Duplicate","Duplicate",IF(P182="Late (real act)","Late","Excluded"))))))</f>
        <v/>
      </c>
      <c r="R182" s="47" t="n"/>
      <c r="S182" s="43" t="n"/>
      <c r="T182" s="43" t="n"/>
      <c r="U182" s="43" t="n"/>
      <c r="V182" s="47" t="n"/>
      <c r="W182" s="47" t="n"/>
      <c r="X182" s="52" t="n"/>
      <c r="Y182" s="43" t="n"/>
      <c r="Z182" s="55">
        <f>IF(OR(Y182="",Q182=""),"",IF(Y182=Q182,"OK","MISMATCH"))</f>
        <v/>
      </c>
      <c r="AA182" s="43" t="n"/>
    </row>
    <row r="183" ht="15" customHeight="1" s="35">
      <c r="A183" s="43" t="n"/>
      <c r="B183" s="47" t="n"/>
      <c r="C183" s="47" t="n"/>
      <c r="D183" s="47" t="n"/>
      <c r="E183" s="43" t="n"/>
      <c r="F183" s="52" t="n"/>
      <c r="G183" s="43" t="n"/>
      <c r="H183" s="51" t="n"/>
      <c r="I183" s="53">
        <f>IF(B183&lt;&gt;"Expected","",IF(C183="Parking Obstruction",IF(G183="Validation",Settings!$B$9,Settings!$B$8),IF(C183="Drinking",IF(G183="Validation",Settings!$B$11,Settings!$B$10),0)))</f>
        <v/>
      </c>
      <c r="J183" s="54">
        <f>IF(OR(B183&lt;&gt;"Expected",D183&lt;&gt;"Violation",H183=""),"",H183+I183+Settings!$B$5)</f>
        <v/>
      </c>
      <c r="K183" s="43" t="n"/>
      <c r="L183" s="51" t="n"/>
      <c r="M183" s="43" t="n"/>
      <c r="N183" s="54">
        <f>IF(AND(B183="Expected",D183="Violation",K183&lt;&gt;"",ISNUMBER(L183),ISNUMBER(H183)),L183-H183-I183,"")</f>
        <v/>
      </c>
      <c r="O183" s="43" t="n"/>
      <c r="P183" s="47" t="n"/>
      <c r="Q183" s="55">
        <f>IF(A183="","",IF(B183="Expected",IF(D183="Violation",IF(H183="","Needs start",IF(AND(K183&lt;&gt;"",OR(M183&lt;&gt;"Monitoring",Settings!$B$7="Yes"),ISNUMBER(L183),L183&lt;=J183),"TP","FN")),IF(AND(K183&lt;&gt;"",OR(M183&lt;&gt;"Monitoring",Settings!$B$7="Yes")),"FP","TN")),IF(P183="","Needs tag",IF(OR(P183="False alarm",P183="Unscripted – false alarm"),"FP",IF(P183="Duplicate","Duplicate",IF(P183="Late (real act)","Late","Excluded"))))))</f>
        <v/>
      </c>
      <c r="R183" s="47" t="n"/>
      <c r="S183" s="43" t="n"/>
      <c r="T183" s="43" t="n"/>
      <c r="U183" s="43" t="n"/>
      <c r="V183" s="47" t="n"/>
      <c r="W183" s="47" t="n"/>
      <c r="X183" s="52" t="n"/>
      <c r="Y183" s="43" t="n"/>
      <c r="Z183" s="55">
        <f>IF(OR(Y183="",Q183=""),"",IF(Y183=Q183,"OK","MISMATCH"))</f>
        <v/>
      </c>
      <c r="AA183" s="43" t="n"/>
    </row>
    <row r="184" ht="15" customHeight="1" s="35">
      <c r="A184" s="43" t="n"/>
      <c r="B184" s="47" t="n"/>
      <c r="C184" s="47" t="n"/>
      <c r="D184" s="47" t="n"/>
      <c r="E184" s="43" t="n"/>
      <c r="F184" s="52" t="n"/>
      <c r="G184" s="43" t="n"/>
      <c r="H184" s="51" t="n"/>
      <c r="I184" s="53">
        <f>IF(B184&lt;&gt;"Expected","",IF(C184="Parking Obstruction",IF(G184="Validation",Settings!$B$9,Settings!$B$8),IF(C184="Drinking",IF(G184="Validation",Settings!$B$11,Settings!$B$10),0)))</f>
        <v/>
      </c>
      <c r="J184" s="54">
        <f>IF(OR(B184&lt;&gt;"Expected",D184&lt;&gt;"Violation",H184=""),"",H184+I184+Settings!$B$5)</f>
        <v/>
      </c>
      <c r="K184" s="43" t="n"/>
      <c r="L184" s="51" t="n"/>
      <c r="M184" s="43" t="n"/>
      <c r="N184" s="54">
        <f>IF(AND(B184="Expected",D184="Violation",K184&lt;&gt;"",ISNUMBER(L184),ISNUMBER(H184)),L184-H184-I184,"")</f>
        <v/>
      </c>
      <c r="O184" s="43" t="n"/>
      <c r="P184" s="47" t="n"/>
      <c r="Q184" s="55">
        <f>IF(A184="","",IF(B184="Expected",IF(D184="Violation",IF(H184="","Needs start",IF(AND(K184&lt;&gt;"",OR(M184&lt;&gt;"Monitoring",Settings!$B$7="Yes"),ISNUMBER(L184),L184&lt;=J184),"TP","FN")),IF(AND(K184&lt;&gt;"",OR(M184&lt;&gt;"Monitoring",Settings!$B$7="Yes")),"FP","TN")),IF(P184="","Needs tag",IF(OR(P184="False alarm",P184="Unscripted – false alarm"),"FP",IF(P184="Duplicate","Duplicate",IF(P184="Late (real act)","Late","Excluded"))))))</f>
        <v/>
      </c>
      <c r="R184" s="47" t="n"/>
      <c r="S184" s="43" t="n"/>
      <c r="T184" s="43" t="n"/>
      <c r="U184" s="43" t="n"/>
      <c r="V184" s="47" t="n"/>
      <c r="W184" s="47" t="n"/>
      <c r="X184" s="52" t="n"/>
      <c r="Y184" s="43" t="n"/>
      <c r="Z184" s="55">
        <f>IF(OR(Y184="",Q184=""),"",IF(Y184=Q184,"OK","MISMATCH"))</f>
        <v/>
      </c>
      <c r="AA184" s="43" t="n"/>
    </row>
    <row r="185" ht="15" customHeight="1" s="35">
      <c r="A185" s="43" t="n"/>
      <c r="B185" s="47" t="n"/>
      <c r="C185" s="47" t="n"/>
      <c r="D185" s="47" t="n"/>
      <c r="E185" s="43" t="n"/>
      <c r="F185" s="52" t="n"/>
      <c r="G185" s="43" t="n"/>
      <c r="H185" s="51" t="n"/>
      <c r="I185" s="53">
        <f>IF(B185&lt;&gt;"Expected","",IF(C185="Parking Obstruction",IF(G185="Validation",Settings!$B$9,Settings!$B$8),IF(C185="Drinking",IF(G185="Validation",Settings!$B$11,Settings!$B$10),0)))</f>
        <v/>
      </c>
      <c r="J185" s="54">
        <f>IF(OR(B185&lt;&gt;"Expected",D185&lt;&gt;"Violation",H185=""),"",H185+I185+Settings!$B$5)</f>
        <v/>
      </c>
      <c r="K185" s="43" t="n"/>
      <c r="L185" s="51" t="n"/>
      <c r="M185" s="43" t="n"/>
      <c r="N185" s="54">
        <f>IF(AND(B185="Expected",D185="Violation",K185&lt;&gt;"",ISNUMBER(L185),ISNUMBER(H185)),L185-H185-I185,"")</f>
        <v/>
      </c>
      <c r="O185" s="43" t="n"/>
      <c r="P185" s="47" t="n"/>
      <c r="Q185" s="55">
        <f>IF(A185="","",IF(B185="Expected",IF(D185="Violation",IF(H185="","Needs start",IF(AND(K185&lt;&gt;"",OR(M185&lt;&gt;"Monitoring",Settings!$B$7="Yes"),ISNUMBER(L185),L185&lt;=J185),"TP","FN")),IF(AND(K185&lt;&gt;"",OR(M185&lt;&gt;"Monitoring",Settings!$B$7="Yes")),"FP","TN")),IF(P185="","Needs tag",IF(OR(P185="False alarm",P185="Unscripted – false alarm"),"FP",IF(P185="Duplicate","Duplicate",IF(P185="Late (real act)","Late","Excluded"))))))</f>
        <v/>
      </c>
      <c r="R185" s="47" t="n"/>
      <c r="S185" s="43" t="n"/>
      <c r="T185" s="43" t="n"/>
      <c r="U185" s="43" t="n"/>
      <c r="V185" s="47" t="n"/>
      <c r="W185" s="47" t="n"/>
      <c r="X185" s="52" t="n"/>
      <c r="Y185" s="43" t="n"/>
      <c r="Z185" s="55">
        <f>IF(OR(Y185="",Q185=""),"",IF(Y185=Q185,"OK","MISMATCH"))</f>
        <v/>
      </c>
      <c r="AA185" s="43" t="n"/>
    </row>
    <row r="186" ht="15" customHeight="1" s="35">
      <c r="A186" s="43" t="n"/>
      <c r="B186" s="47" t="n"/>
      <c r="C186" s="47" t="n"/>
      <c r="D186" s="47" t="n"/>
      <c r="E186" s="43" t="n"/>
      <c r="F186" s="52" t="n"/>
      <c r="G186" s="43" t="n"/>
      <c r="H186" s="51" t="n"/>
      <c r="I186" s="53">
        <f>IF(B186&lt;&gt;"Expected","",IF(C186="Parking Obstruction",IF(G186="Validation",Settings!$B$9,Settings!$B$8),IF(C186="Drinking",IF(G186="Validation",Settings!$B$11,Settings!$B$10),0)))</f>
        <v/>
      </c>
      <c r="J186" s="54">
        <f>IF(OR(B186&lt;&gt;"Expected",D186&lt;&gt;"Violation",H186=""),"",H186+I186+Settings!$B$5)</f>
        <v/>
      </c>
      <c r="K186" s="43" t="n"/>
      <c r="L186" s="51" t="n"/>
      <c r="M186" s="43" t="n"/>
      <c r="N186" s="54">
        <f>IF(AND(B186="Expected",D186="Violation",K186&lt;&gt;"",ISNUMBER(L186),ISNUMBER(H186)),L186-H186-I186,"")</f>
        <v/>
      </c>
      <c r="O186" s="43" t="n"/>
      <c r="P186" s="47" t="n"/>
      <c r="Q186" s="55">
        <f>IF(A186="","",IF(B186="Expected",IF(D186="Violation",IF(H186="","Needs start",IF(AND(K186&lt;&gt;"",OR(M186&lt;&gt;"Monitoring",Settings!$B$7="Yes"),ISNUMBER(L186),L186&lt;=J186),"TP","FN")),IF(AND(K186&lt;&gt;"",OR(M186&lt;&gt;"Monitoring",Settings!$B$7="Yes")),"FP","TN")),IF(P186="","Needs tag",IF(OR(P186="False alarm",P186="Unscripted – false alarm"),"FP",IF(P186="Duplicate","Duplicate",IF(P186="Late (real act)","Late","Excluded"))))))</f>
        <v/>
      </c>
      <c r="R186" s="47" t="n"/>
      <c r="S186" s="43" t="n"/>
      <c r="T186" s="43" t="n"/>
      <c r="U186" s="43" t="n"/>
      <c r="V186" s="47" t="n"/>
      <c r="W186" s="47" t="n"/>
      <c r="X186" s="52" t="n"/>
      <c r="Y186" s="43" t="n"/>
      <c r="Z186" s="55">
        <f>IF(OR(Y186="",Q186=""),"",IF(Y186=Q186,"OK","MISMATCH"))</f>
        <v/>
      </c>
      <c r="AA186" s="43" t="n"/>
    </row>
    <row r="187" ht="15" customHeight="1" s="35">
      <c r="A187" s="43" t="n"/>
      <c r="B187" s="47" t="n"/>
      <c r="C187" s="47" t="n"/>
      <c r="D187" s="47" t="n"/>
      <c r="E187" s="43" t="n"/>
      <c r="F187" s="52" t="n"/>
      <c r="G187" s="43" t="n"/>
      <c r="H187" s="51" t="n"/>
      <c r="I187" s="53">
        <f>IF(B187&lt;&gt;"Expected","",IF(C187="Parking Obstruction",IF(G187="Validation",Settings!$B$9,Settings!$B$8),IF(C187="Drinking",IF(G187="Validation",Settings!$B$11,Settings!$B$10),0)))</f>
        <v/>
      </c>
      <c r="J187" s="54">
        <f>IF(OR(B187&lt;&gt;"Expected",D187&lt;&gt;"Violation",H187=""),"",H187+I187+Settings!$B$5)</f>
        <v/>
      </c>
      <c r="K187" s="43" t="n"/>
      <c r="L187" s="51" t="n"/>
      <c r="M187" s="43" t="n"/>
      <c r="N187" s="54">
        <f>IF(AND(B187="Expected",D187="Violation",K187&lt;&gt;"",ISNUMBER(L187),ISNUMBER(H187)),L187-H187-I187,"")</f>
        <v/>
      </c>
      <c r="O187" s="43" t="n"/>
      <c r="P187" s="47" t="n"/>
      <c r="Q187" s="55">
        <f>IF(A187="","",IF(B187="Expected",IF(D187="Violation",IF(H187="","Needs start",IF(AND(K187&lt;&gt;"",OR(M187&lt;&gt;"Monitoring",Settings!$B$7="Yes"),ISNUMBER(L187),L187&lt;=J187),"TP","FN")),IF(AND(K187&lt;&gt;"",OR(M187&lt;&gt;"Monitoring",Settings!$B$7="Yes")),"FP","TN")),IF(P187="","Needs tag",IF(OR(P187="False alarm",P187="Unscripted – false alarm"),"FP",IF(P187="Duplicate","Duplicate",IF(P187="Late (real act)","Late","Excluded"))))))</f>
        <v/>
      </c>
      <c r="R187" s="47" t="n"/>
      <c r="S187" s="43" t="n"/>
      <c r="T187" s="43" t="n"/>
      <c r="U187" s="43" t="n"/>
      <c r="V187" s="47" t="n"/>
      <c r="W187" s="47" t="n"/>
      <c r="X187" s="52" t="n"/>
      <c r="Y187" s="43" t="n"/>
      <c r="Z187" s="55">
        <f>IF(OR(Y187="",Q187=""),"",IF(Y187=Q187,"OK","MISMATCH"))</f>
        <v/>
      </c>
      <c r="AA187" s="43" t="n"/>
    </row>
    <row r="188" ht="15" customHeight="1" s="35">
      <c r="A188" s="43" t="n"/>
      <c r="B188" s="47" t="n"/>
      <c r="C188" s="47" t="n"/>
      <c r="D188" s="47" t="n"/>
      <c r="E188" s="43" t="n"/>
      <c r="F188" s="52" t="n"/>
      <c r="G188" s="43" t="n"/>
      <c r="H188" s="51" t="n"/>
      <c r="I188" s="53">
        <f>IF(B188&lt;&gt;"Expected","",IF(C188="Parking Obstruction",IF(G188="Validation",Settings!$B$9,Settings!$B$8),IF(C188="Drinking",IF(G188="Validation",Settings!$B$11,Settings!$B$10),0)))</f>
        <v/>
      </c>
      <c r="J188" s="54">
        <f>IF(OR(B188&lt;&gt;"Expected",D188&lt;&gt;"Violation",H188=""),"",H188+I188+Settings!$B$5)</f>
        <v/>
      </c>
      <c r="K188" s="43" t="n"/>
      <c r="L188" s="51" t="n"/>
      <c r="M188" s="43" t="n"/>
      <c r="N188" s="54">
        <f>IF(AND(B188="Expected",D188="Violation",K188&lt;&gt;"",ISNUMBER(L188),ISNUMBER(H188)),L188-H188-I188,"")</f>
        <v/>
      </c>
      <c r="O188" s="43" t="n"/>
      <c r="P188" s="47" t="n"/>
      <c r="Q188" s="55">
        <f>IF(A188="","",IF(B188="Expected",IF(D188="Violation",IF(H188="","Needs start",IF(AND(K188&lt;&gt;"",OR(M188&lt;&gt;"Monitoring",Settings!$B$7="Yes"),ISNUMBER(L188),L188&lt;=J188),"TP","FN")),IF(AND(K188&lt;&gt;"",OR(M188&lt;&gt;"Monitoring",Settings!$B$7="Yes")),"FP","TN")),IF(P188="","Needs tag",IF(OR(P188="False alarm",P188="Unscripted – false alarm"),"FP",IF(P188="Duplicate","Duplicate",IF(P188="Late (real act)","Late","Excluded"))))))</f>
        <v/>
      </c>
      <c r="R188" s="47" t="n"/>
      <c r="S188" s="43" t="n"/>
      <c r="T188" s="43" t="n"/>
      <c r="U188" s="43" t="n"/>
      <c r="V188" s="47" t="n"/>
      <c r="W188" s="47" t="n"/>
      <c r="X188" s="52" t="n"/>
      <c r="Y188" s="43" t="n"/>
      <c r="Z188" s="55">
        <f>IF(OR(Y188="",Q188=""),"",IF(Y188=Q188,"OK","MISMATCH"))</f>
        <v/>
      </c>
      <c r="AA188" s="43" t="n"/>
    </row>
    <row r="189" ht="15" customHeight="1" s="35">
      <c r="A189" s="43" t="n"/>
      <c r="B189" s="47" t="n"/>
      <c r="C189" s="47" t="n"/>
      <c r="D189" s="47" t="n"/>
      <c r="E189" s="43" t="n"/>
      <c r="F189" s="52" t="n"/>
      <c r="G189" s="43" t="n"/>
      <c r="H189" s="51" t="n"/>
      <c r="I189" s="53">
        <f>IF(B189&lt;&gt;"Expected","",IF(C189="Parking Obstruction",IF(G189="Validation",Settings!$B$9,Settings!$B$8),IF(C189="Drinking",IF(G189="Validation",Settings!$B$11,Settings!$B$10),0)))</f>
        <v/>
      </c>
      <c r="J189" s="54">
        <f>IF(OR(B189&lt;&gt;"Expected",D189&lt;&gt;"Violation",H189=""),"",H189+I189+Settings!$B$5)</f>
        <v/>
      </c>
      <c r="K189" s="43" t="n"/>
      <c r="L189" s="51" t="n"/>
      <c r="M189" s="43" t="n"/>
      <c r="N189" s="54">
        <f>IF(AND(B189="Expected",D189="Violation",K189&lt;&gt;"",ISNUMBER(L189),ISNUMBER(H189)),L189-H189-I189,"")</f>
        <v/>
      </c>
      <c r="O189" s="43" t="n"/>
      <c r="P189" s="47" t="n"/>
      <c r="Q189" s="55">
        <f>IF(A189="","",IF(B189="Expected",IF(D189="Violation",IF(H189="","Needs start",IF(AND(K189&lt;&gt;"",OR(M189&lt;&gt;"Monitoring",Settings!$B$7="Yes"),ISNUMBER(L189),L189&lt;=J189),"TP","FN")),IF(AND(K189&lt;&gt;"",OR(M189&lt;&gt;"Monitoring",Settings!$B$7="Yes")),"FP","TN")),IF(P189="","Needs tag",IF(OR(P189="False alarm",P189="Unscripted – false alarm"),"FP",IF(P189="Duplicate","Duplicate",IF(P189="Late (real act)","Late","Excluded"))))))</f>
        <v/>
      </c>
      <c r="R189" s="47" t="n"/>
      <c r="S189" s="43" t="n"/>
      <c r="T189" s="43" t="n"/>
      <c r="U189" s="43" t="n"/>
      <c r="V189" s="47" t="n"/>
      <c r="W189" s="47" t="n"/>
      <c r="X189" s="52" t="n"/>
      <c r="Y189" s="43" t="n"/>
      <c r="Z189" s="55">
        <f>IF(OR(Y189="",Q189=""),"",IF(Y189=Q189,"OK","MISMATCH"))</f>
        <v/>
      </c>
      <c r="AA189" s="43" t="n"/>
    </row>
    <row r="190" ht="15" customHeight="1" s="35">
      <c r="A190" s="43" t="n"/>
      <c r="B190" s="47" t="n"/>
      <c r="C190" s="47" t="n"/>
      <c r="D190" s="47" t="n"/>
      <c r="E190" s="43" t="n"/>
      <c r="F190" s="52" t="n"/>
      <c r="G190" s="43" t="n"/>
      <c r="H190" s="51" t="n"/>
      <c r="I190" s="53">
        <f>IF(B190&lt;&gt;"Expected","",IF(C190="Parking Obstruction",IF(G190="Validation",Settings!$B$9,Settings!$B$8),IF(C190="Drinking",IF(G190="Validation",Settings!$B$11,Settings!$B$10),0)))</f>
        <v/>
      </c>
      <c r="J190" s="54">
        <f>IF(OR(B190&lt;&gt;"Expected",D190&lt;&gt;"Violation",H190=""),"",H190+I190+Settings!$B$5)</f>
        <v/>
      </c>
      <c r="K190" s="43" t="n"/>
      <c r="L190" s="51" t="n"/>
      <c r="M190" s="43" t="n"/>
      <c r="N190" s="54">
        <f>IF(AND(B190="Expected",D190="Violation",K190&lt;&gt;"",ISNUMBER(L190),ISNUMBER(H190)),L190-H190-I190,"")</f>
        <v/>
      </c>
      <c r="O190" s="43" t="n"/>
      <c r="P190" s="47" t="n"/>
      <c r="Q190" s="55">
        <f>IF(A190="","",IF(B190="Expected",IF(D190="Violation",IF(H190="","Needs start",IF(AND(K190&lt;&gt;"",OR(M190&lt;&gt;"Monitoring",Settings!$B$7="Yes"),ISNUMBER(L190),L190&lt;=J190),"TP","FN")),IF(AND(K190&lt;&gt;"",OR(M190&lt;&gt;"Monitoring",Settings!$B$7="Yes")),"FP","TN")),IF(P190="","Needs tag",IF(OR(P190="False alarm",P190="Unscripted – false alarm"),"FP",IF(P190="Duplicate","Duplicate",IF(P190="Late (real act)","Late","Excluded"))))))</f>
        <v/>
      </c>
      <c r="R190" s="47" t="n"/>
      <c r="S190" s="43" t="n"/>
      <c r="T190" s="43" t="n"/>
      <c r="U190" s="43" t="n"/>
      <c r="V190" s="47" t="n"/>
      <c r="W190" s="47" t="n"/>
      <c r="X190" s="52" t="n"/>
      <c r="Y190" s="43" t="n"/>
      <c r="Z190" s="55">
        <f>IF(OR(Y190="",Q190=""),"",IF(Y190=Q190,"OK","MISMATCH"))</f>
        <v/>
      </c>
      <c r="AA190" s="43" t="n"/>
    </row>
    <row r="191" ht="15" customHeight="1" s="35">
      <c r="A191" s="43" t="n"/>
      <c r="B191" s="47" t="n"/>
      <c r="C191" s="47" t="n"/>
      <c r="D191" s="47" t="n"/>
      <c r="E191" s="43" t="n"/>
      <c r="F191" s="52" t="n"/>
      <c r="G191" s="43" t="n"/>
      <c r="H191" s="51" t="n"/>
      <c r="I191" s="53">
        <f>IF(B191&lt;&gt;"Expected","",IF(C191="Parking Obstruction",IF(G191="Validation",Settings!$B$9,Settings!$B$8),IF(C191="Drinking",IF(G191="Validation",Settings!$B$11,Settings!$B$10),0)))</f>
        <v/>
      </c>
      <c r="J191" s="54">
        <f>IF(OR(B191&lt;&gt;"Expected",D191&lt;&gt;"Violation",H191=""),"",H191+I191+Settings!$B$5)</f>
        <v/>
      </c>
      <c r="K191" s="43" t="n"/>
      <c r="L191" s="51" t="n"/>
      <c r="M191" s="43" t="n"/>
      <c r="N191" s="54">
        <f>IF(AND(B191="Expected",D191="Violation",K191&lt;&gt;"",ISNUMBER(L191),ISNUMBER(H191)),L191-H191-I191,"")</f>
        <v/>
      </c>
      <c r="O191" s="43" t="n"/>
      <c r="P191" s="47" t="n"/>
      <c r="Q191" s="55">
        <f>IF(A191="","",IF(B191="Expected",IF(D191="Violation",IF(H191="","Needs start",IF(AND(K191&lt;&gt;"",OR(M191&lt;&gt;"Monitoring",Settings!$B$7="Yes"),ISNUMBER(L191),L191&lt;=J191),"TP","FN")),IF(AND(K191&lt;&gt;"",OR(M191&lt;&gt;"Monitoring",Settings!$B$7="Yes")),"FP","TN")),IF(P191="","Needs tag",IF(OR(P191="False alarm",P191="Unscripted – false alarm"),"FP",IF(P191="Duplicate","Duplicate",IF(P191="Late (real act)","Late","Excluded"))))))</f>
        <v/>
      </c>
      <c r="R191" s="47" t="n"/>
      <c r="S191" s="43" t="n"/>
      <c r="T191" s="43" t="n"/>
      <c r="U191" s="43" t="n"/>
      <c r="V191" s="47" t="n"/>
      <c r="W191" s="47" t="n"/>
      <c r="X191" s="52" t="n"/>
      <c r="Y191" s="43" t="n"/>
      <c r="Z191" s="55">
        <f>IF(OR(Y191="",Q191=""),"",IF(Y191=Q191,"OK","MISMATCH"))</f>
        <v/>
      </c>
      <c r="AA191" s="43" t="n"/>
    </row>
    <row r="192" ht="15" customHeight="1" s="35">
      <c r="A192" s="43" t="n"/>
      <c r="B192" s="47" t="n"/>
      <c r="C192" s="47" t="n"/>
      <c r="D192" s="47" t="n"/>
      <c r="E192" s="43" t="n"/>
      <c r="F192" s="52" t="n"/>
      <c r="G192" s="43" t="n"/>
      <c r="H192" s="51" t="n"/>
      <c r="I192" s="53">
        <f>IF(B192&lt;&gt;"Expected","",IF(C192="Parking Obstruction",IF(G192="Validation",Settings!$B$9,Settings!$B$8),IF(C192="Drinking",IF(G192="Validation",Settings!$B$11,Settings!$B$10),0)))</f>
        <v/>
      </c>
      <c r="J192" s="54">
        <f>IF(OR(B192&lt;&gt;"Expected",D192&lt;&gt;"Violation",H192=""),"",H192+I192+Settings!$B$5)</f>
        <v/>
      </c>
      <c r="K192" s="43" t="n"/>
      <c r="L192" s="51" t="n"/>
      <c r="M192" s="43" t="n"/>
      <c r="N192" s="54">
        <f>IF(AND(B192="Expected",D192="Violation",K192&lt;&gt;"",ISNUMBER(L192),ISNUMBER(H192)),L192-H192-I192,"")</f>
        <v/>
      </c>
      <c r="O192" s="43" t="n"/>
      <c r="P192" s="47" t="n"/>
      <c r="Q192" s="55">
        <f>IF(A192="","",IF(B192="Expected",IF(D192="Violation",IF(H192="","Needs start",IF(AND(K192&lt;&gt;"",OR(M192&lt;&gt;"Monitoring",Settings!$B$7="Yes"),ISNUMBER(L192),L192&lt;=J192),"TP","FN")),IF(AND(K192&lt;&gt;"",OR(M192&lt;&gt;"Monitoring",Settings!$B$7="Yes")),"FP","TN")),IF(P192="","Needs tag",IF(OR(P192="False alarm",P192="Unscripted – false alarm"),"FP",IF(P192="Duplicate","Duplicate",IF(P192="Late (real act)","Late","Excluded"))))))</f>
        <v/>
      </c>
      <c r="R192" s="47" t="n"/>
      <c r="S192" s="43" t="n"/>
      <c r="T192" s="43" t="n"/>
      <c r="U192" s="43" t="n"/>
      <c r="V192" s="47" t="n"/>
      <c r="W192" s="47" t="n"/>
      <c r="X192" s="52" t="n"/>
      <c r="Y192" s="43" t="n"/>
      <c r="Z192" s="55">
        <f>IF(OR(Y192="",Q192=""),"",IF(Y192=Q192,"OK","MISMATCH"))</f>
        <v/>
      </c>
      <c r="AA192" s="43" t="n"/>
    </row>
    <row r="193" ht="15" customHeight="1" s="35">
      <c r="A193" s="43" t="n"/>
      <c r="B193" s="47" t="n"/>
      <c r="C193" s="47" t="n"/>
      <c r="D193" s="47" t="n"/>
      <c r="E193" s="43" t="n"/>
      <c r="F193" s="52" t="n"/>
      <c r="G193" s="43" t="n"/>
      <c r="H193" s="51" t="n"/>
      <c r="I193" s="53">
        <f>IF(B193&lt;&gt;"Expected","",IF(C193="Parking Obstruction",IF(G193="Validation",Settings!$B$9,Settings!$B$8),IF(C193="Drinking",IF(G193="Validation",Settings!$B$11,Settings!$B$10),0)))</f>
        <v/>
      </c>
      <c r="J193" s="54">
        <f>IF(OR(B193&lt;&gt;"Expected",D193&lt;&gt;"Violation",H193=""),"",H193+I193+Settings!$B$5)</f>
        <v/>
      </c>
      <c r="K193" s="43" t="n"/>
      <c r="L193" s="51" t="n"/>
      <c r="M193" s="43" t="n"/>
      <c r="N193" s="54">
        <f>IF(AND(B193="Expected",D193="Violation",K193&lt;&gt;"",ISNUMBER(L193),ISNUMBER(H193)),L193-H193-I193,"")</f>
        <v/>
      </c>
      <c r="O193" s="43" t="n"/>
      <c r="P193" s="47" t="n"/>
      <c r="Q193" s="55">
        <f>IF(A193="","",IF(B193="Expected",IF(D193="Violation",IF(H193="","Needs start",IF(AND(K193&lt;&gt;"",OR(M193&lt;&gt;"Monitoring",Settings!$B$7="Yes"),ISNUMBER(L193),L193&lt;=J193),"TP","FN")),IF(AND(K193&lt;&gt;"",OR(M193&lt;&gt;"Monitoring",Settings!$B$7="Yes")),"FP","TN")),IF(P193="","Needs tag",IF(OR(P193="False alarm",P193="Unscripted – false alarm"),"FP",IF(P193="Duplicate","Duplicate",IF(P193="Late (real act)","Late","Excluded"))))))</f>
        <v/>
      </c>
      <c r="R193" s="47" t="n"/>
      <c r="S193" s="43" t="n"/>
      <c r="T193" s="43" t="n"/>
      <c r="U193" s="43" t="n"/>
      <c r="V193" s="47" t="n"/>
      <c r="W193" s="47" t="n"/>
      <c r="X193" s="52" t="n"/>
      <c r="Y193" s="43" t="n"/>
      <c r="Z193" s="55">
        <f>IF(OR(Y193="",Q193=""),"",IF(Y193=Q193,"OK","MISMATCH"))</f>
        <v/>
      </c>
      <c r="AA193" s="43" t="n"/>
    </row>
    <row r="194" ht="15" customHeight="1" s="35">
      <c r="A194" s="43" t="n"/>
      <c r="B194" s="47" t="n"/>
      <c r="C194" s="47" t="n"/>
      <c r="D194" s="47" t="n"/>
      <c r="E194" s="43" t="n"/>
      <c r="F194" s="52" t="n"/>
      <c r="G194" s="43" t="n"/>
      <c r="H194" s="51" t="n"/>
      <c r="I194" s="53">
        <f>IF(B194&lt;&gt;"Expected","",IF(C194="Parking Obstruction",IF(G194="Validation",Settings!$B$9,Settings!$B$8),IF(C194="Drinking",IF(G194="Validation",Settings!$B$11,Settings!$B$10),0)))</f>
        <v/>
      </c>
      <c r="J194" s="54">
        <f>IF(OR(B194&lt;&gt;"Expected",D194&lt;&gt;"Violation",H194=""),"",H194+I194+Settings!$B$5)</f>
        <v/>
      </c>
      <c r="K194" s="43" t="n"/>
      <c r="L194" s="51" t="n"/>
      <c r="M194" s="43" t="n"/>
      <c r="N194" s="54">
        <f>IF(AND(B194="Expected",D194="Violation",K194&lt;&gt;"",ISNUMBER(L194),ISNUMBER(H194)),L194-H194-I194,"")</f>
        <v/>
      </c>
      <c r="O194" s="43" t="n"/>
      <c r="P194" s="47" t="n"/>
      <c r="Q194" s="55">
        <f>IF(A194="","",IF(B194="Expected",IF(D194="Violation",IF(H194="","Needs start",IF(AND(K194&lt;&gt;"",OR(M194&lt;&gt;"Monitoring",Settings!$B$7="Yes"),ISNUMBER(L194),L194&lt;=J194),"TP","FN")),IF(AND(K194&lt;&gt;"",OR(M194&lt;&gt;"Monitoring",Settings!$B$7="Yes")),"FP","TN")),IF(P194="","Needs tag",IF(OR(P194="False alarm",P194="Unscripted – false alarm"),"FP",IF(P194="Duplicate","Duplicate",IF(P194="Late (real act)","Late","Excluded"))))))</f>
        <v/>
      </c>
      <c r="R194" s="47" t="n"/>
      <c r="S194" s="43" t="n"/>
      <c r="T194" s="43" t="n"/>
      <c r="U194" s="43" t="n"/>
      <c r="V194" s="47" t="n"/>
      <c r="W194" s="47" t="n"/>
      <c r="X194" s="52" t="n"/>
      <c r="Y194" s="43" t="n"/>
      <c r="Z194" s="55">
        <f>IF(OR(Y194="",Q194=""),"",IF(Y194=Q194,"OK","MISMATCH"))</f>
        <v/>
      </c>
      <c r="AA194" s="43" t="n"/>
    </row>
    <row r="195" ht="15" customHeight="1" s="35">
      <c r="A195" s="43" t="n"/>
      <c r="B195" s="47" t="n"/>
      <c r="C195" s="47" t="n"/>
      <c r="D195" s="47" t="n"/>
      <c r="E195" s="43" t="n"/>
      <c r="F195" s="52" t="n"/>
      <c r="G195" s="43" t="n"/>
      <c r="H195" s="51" t="n"/>
      <c r="I195" s="53">
        <f>IF(B195&lt;&gt;"Expected","",IF(C195="Parking Obstruction",IF(G195="Validation",Settings!$B$9,Settings!$B$8),IF(C195="Drinking",IF(G195="Validation",Settings!$B$11,Settings!$B$10),0)))</f>
        <v/>
      </c>
      <c r="J195" s="54">
        <f>IF(OR(B195&lt;&gt;"Expected",D195&lt;&gt;"Violation",H195=""),"",H195+I195+Settings!$B$5)</f>
        <v/>
      </c>
      <c r="K195" s="43" t="n"/>
      <c r="L195" s="51" t="n"/>
      <c r="M195" s="43" t="n"/>
      <c r="N195" s="54">
        <f>IF(AND(B195="Expected",D195="Violation",K195&lt;&gt;"",ISNUMBER(L195),ISNUMBER(H195)),L195-H195-I195,"")</f>
        <v/>
      </c>
      <c r="O195" s="43" t="n"/>
      <c r="P195" s="47" t="n"/>
      <c r="Q195" s="55">
        <f>IF(A195="","",IF(B195="Expected",IF(D195="Violation",IF(H195="","Needs start",IF(AND(K195&lt;&gt;"",OR(M195&lt;&gt;"Monitoring",Settings!$B$7="Yes"),ISNUMBER(L195),L195&lt;=J195),"TP","FN")),IF(AND(K195&lt;&gt;"",OR(M195&lt;&gt;"Monitoring",Settings!$B$7="Yes")),"FP","TN")),IF(P195="","Needs tag",IF(OR(P195="False alarm",P195="Unscripted – false alarm"),"FP",IF(P195="Duplicate","Duplicate",IF(P195="Late (real act)","Late","Excluded"))))))</f>
        <v/>
      </c>
      <c r="R195" s="47" t="n"/>
      <c r="S195" s="43" t="n"/>
      <c r="T195" s="43" t="n"/>
      <c r="U195" s="43" t="n"/>
      <c r="V195" s="47" t="n"/>
      <c r="W195" s="47" t="n"/>
      <c r="X195" s="52" t="n"/>
      <c r="Y195" s="43" t="n"/>
      <c r="Z195" s="55">
        <f>IF(OR(Y195="",Q195=""),"",IF(Y195=Q195,"OK","MISMATCH"))</f>
        <v/>
      </c>
      <c r="AA195" s="43" t="n"/>
    </row>
    <row r="196" ht="15" customHeight="1" s="35">
      <c r="A196" s="43" t="n"/>
      <c r="B196" s="47" t="n"/>
      <c r="C196" s="47" t="n"/>
      <c r="D196" s="47" t="n"/>
      <c r="E196" s="43" t="n"/>
      <c r="F196" s="52" t="n"/>
      <c r="G196" s="43" t="n"/>
      <c r="H196" s="51" t="n"/>
      <c r="I196" s="53">
        <f>IF(B196&lt;&gt;"Expected","",IF(C196="Parking Obstruction",IF(G196="Validation",Settings!$B$9,Settings!$B$8),IF(C196="Drinking",IF(G196="Validation",Settings!$B$11,Settings!$B$10),0)))</f>
        <v/>
      </c>
      <c r="J196" s="54">
        <f>IF(OR(B196&lt;&gt;"Expected",D196&lt;&gt;"Violation",H196=""),"",H196+I196+Settings!$B$5)</f>
        <v/>
      </c>
      <c r="K196" s="43" t="n"/>
      <c r="L196" s="51" t="n"/>
      <c r="M196" s="43" t="n"/>
      <c r="N196" s="54">
        <f>IF(AND(B196="Expected",D196="Violation",K196&lt;&gt;"",ISNUMBER(L196),ISNUMBER(H196)),L196-H196-I196,"")</f>
        <v/>
      </c>
      <c r="O196" s="43" t="n"/>
      <c r="P196" s="47" t="n"/>
      <c r="Q196" s="55">
        <f>IF(A196="","",IF(B196="Expected",IF(D196="Violation",IF(H196="","Needs start",IF(AND(K196&lt;&gt;"",OR(M196&lt;&gt;"Monitoring",Settings!$B$7="Yes"),ISNUMBER(L196),L196&lt;=J196),"TP","FN")),IF(AND(K196&lt;&gt;"",OR(M196&lt;&gt;"Monitoring",Settings!$B$7="Yes")),"FP","TN")),IF(P196="","Needs tag",IF(OR(P196="False alarm",P196="Unscripted – false alarm"),"FP",IF(P196="Duplicate","Duplicate",IF(P196="Late (real act)","Late","Excluded"))))))</f>
        <v/>
      </c>
      <c r="R196" s="47" t="n"/>
      <c r="S196" s="43" t="n"/>
      <c r="T196" s="43" t="n"/>
      <c r="U196" s="43" t="n"/>
      <c r="V196" s="47" t="n"/>
      <c r="W196" s="47" t="n"/>
      <c r="X196" s="52" t="n"/>
      <c r="Y196" s="43" t="n"/>
      <c r="Z196" s="55">
        <f>IF(OR(Y196="",Q196=""),"",IF(Y196=Q196,"OK","MISMATCH"))</f>
        <v/>
      </c>
      <c r="AA196" s="43" t="n"/>
    </row>
    <row r="197" ht="15" customHeight="1" s="35">
      <c r="A197" s="43" t="n"/>
      <c r="B197" s="47" t="n"/>
      <c r="C197" s="47" t="n"/>
      <c r="D197" s="47" t="n"/>
      <c r="E197" s="43" t="n"/>
      <c r="F197" s="52" t="n"/>
      <c r="G197" s="43" t="n"/>
      <c r="H197" s="51" t="n"/>
      <c r="I197" s="53">
        <f>IF(B197&lt;&gt;"Expected","",IF(C197="Parking Obstruction",IF(G197="Validation",Settings!$B$9,Settings!$B$8),IF(C197="Drinking",IF(G197="Validation",Settings!$B$11,Settings!$B$10),0)))</f>
        <v/>
      </c>
      <c r="J197" s="54">
        <f>IF(OR(B197&lt;&gt;"Expected",D197&lt;&gt;"Violation",H197=""),"",H197+I197+Settings!$B$5)</f>
        <v/>
      </c>
      <c r="K197" s="43" t="n"/>
      <c r="L197" s="51" t="n"/>
      <c r="M197" s="43" t="n"/>
      <c r="N197" s="54">
        <f>IF(AND(B197="Expected",D197="Violation",K197&lt;&gt;"",ISNUMBER(L197),ISNUMBER(H197)),L197-H197-I197,"")</f>
        <v/>
      </c>
      <c r="O197" s="43" t="n"/>
      <c r="P197" s="47" t="n"/>
      <c r="Q197" s="55">
        <f>IF(A197="","",IF(B197="Expected",IF(D197="Violation",IF(H197="","Needs start",IF(AND(K197&lt;&gt;"",OR(M197&lt;&gt;"Monitoring",Settings!$B$7="Yes"),ISNUMBER(L197),L197&lt;=J197),"TP","FN")),IF(AND(K197&lt;&gt;"",OR(M197&lt;&gt;"Monitoring",Settings!$B$7="Yes")),"FP","TN")),IF(P197="","Needs tag",IF(OR(P197="False alarm",P197="Unscripted – false alarm"),"FP",IF(P197="Duplicate","Duplicate",IF(P197="Late (real act)","Late","Excluded"))))))</f>
        <v/>
      </c>
      <c r="R197" s="47" t="n"/>
      <c r="S197" s="43" t="n"/>
      <c r="T197" s="43" t="n"/>
      <c r="U197" s="43" t="n"/>
      <c r="V197" s="47" t="n"/>
      <c r="W197" s="47" t="n"/>
      <c r="X197" s="52" t="n"/>
      <c r="Y197" s="43" t="n"/>
      <c r="Z197" s="55">
        <f>IF(OR(Y197="",Q197=""),"",IF(Y197=Q197,"OK","MISMATCH"))</f>
        <v/>
      </c>
      <c r="AA197" s="43" t="n"/>
    </row>
    <row r="198" ht="15" customHeight="1" s="35">
      <c r="A198" s="43" t="n"/>
      <c r="B198" s="47" t="n"/>
      <c r="C198" s="47" t="n"/>
      <c r="D198" s="47" t="n"/>
      <c r="E198" s="43" t="n"/>
      <c r="F198" s="52" t="n"/>
      <c r="G198" s="43" t="n"/>
      <c r="H198" s="51" t="n"/>
      <c r="I198" s="53">
        <f>IF(B198&lt;&gt;"Expected","",IF(C198="Parking Obstruction",IF(G198="Validation",Settings!$B$9,Settings!$B$8),IF(C198="Drinking",IF(G198="Validation",Settings!$B$11,Settings!$B$10),0)))</f>
        <v/>
      </c>
      <c r="J198" s="54">
        <f>IF(OR(B198&lt;&gt;"Expected",D198&lt;&gt;"Violation",H198=""),"",H198+I198+Settings!$B$5)</f>
        <v/>
      </c>
      <c r="K198" s="43" t="n"/>
      <c r="L198" s="51" t="n"/>
      <c r="M198" s="43" t="n"/>
      <c r="N198" s="54">
        <f>IF(AND(B198="Expected",D198="Violation",K198&lt;&gt;"",ISNUMBER(L198),ISNUMBER(H198)),L198-H198-I198,"")</f>
        <v/>
      </c>
      <c r="O198" s="43" t="n"/>
      <c r="P198" s="47" t="n"/>
      <c r="Q198" s="55">
        <f>IF(A198="","",IF(B198="Expected",IF(D198="Violation",IF(H198="","Needs start",IF(AND(K198&lt;&gt;"",OR(M198&lt;&gt;"Monitoring",Settings!$B$7="Yes"),ISNUMBER(L198),L198&lt;=J198),"TP","FN")),IF(AND(K198&lt;&gt;"",OR(M198&lt;&gt;"Monitoring",Settings!$B$7="Yes")),"FP","TN")),IF(P198="","Needs tag",IF(OR(P198="False alarm",P198="Unscripted – false alarm"),"FP",IF(P198="Duplicate","Duplicate",IF(P198="Late (real act)","Late","Excluded"))))))</f>
        <v/>
      </c>
      <c r="R198" s="47" t="n"/>
      <c r="S198" s="43" t="n"/>
      <c r="T198" s="43" t="n"/>
      <c r="U198" s="43" t="n"/>
      <c r="V198" s="47" t="n"/>
      <c r="W198" s="47" t="n"/>
      <c r="X198" s="52" t="n"/>
      <c r="Y198" s="43" t="n"/>
      <c r="Z198" s="55">
        <f>IF(OR(Y198="",Q198=""),"",IF(Y198=Q198,"OK","MISMATCH"))</f>
        <v/>
      </c>
      <c r="AA198" s="43" t="n"/>
    </row>
    <row r="199" ht="15" customHeight="1" s="35">
      <c r="A199" s="43" t="n"/>
      <c r="B199" s="47" t="n"/>
      <c r="C199" s="47" t="n"/>
      <c r="D199" s="47" t="n"/>
      <c r="E199" s="43" t="n"/>
      <c r="F199" s="52" t="n"/>
      <c r="G199" s="43" t="n"/>
      <c r="H199" s="51" t="n"/>
      <c r="I199" s="53">
        <f>IF(B199&lt;&gt;"Expected","",IF(C199="Parking Obstruction",IF(G199="Validation",Settings!$B$9,Settings!$B$8),IF(C199="Drinking",IF(G199="Validation",Settings!$B$11,Settings!$B$10),0)))</f>
        <v/>
      </c>
      <c r="J199" s="54">
        <f>IF(OR(B199&lt;&gt;"Expected",D199&lt;&gt;"Violation",H199=""),"",H199+I199+Settings!$B$5)</f>
        <v/>
      </c>
      <c r="K199" s="43" t="n"/>
      <c r="L199" s="51" t="n"/>
      <c r="M199" s="43" t="n"/>
      <c r="N199" s="54">
        <f>IF(AND(B199="Expected",D199="Violation",K199&lt;&gt;"",ISNUMBER(L199),ISNUMBER(H199)),L199-H199-I199,"")</f>
        <v/>
      </c>
      <c r="O199" s="43" t="n"/>
      <c r="P199" s="47" t="n"/>
      <c r="Q199" s="55">
        <f>IF(A199="","",IF(B199="Expected",IF(D199="Violation",IF(H199="","Needs start",IF(AND(K199&lt;&gt;"",OR(M199&lt;&gt;"Monitoring",Settings!$B$7="Yes"),ISNUMBER(L199),L199&lt;=J199),"TP","FN")),IF(AND(K199&lt;&gt;"",OR(M199&lt;&gt;"Monitoring",Settings!$B$7="Yes")),"FP","TN")),IF(P199="","Needs tag",IF(OR(P199="False alarm",P199="Unscripted – false alarm"),"FP",IF(P199="Duplicate","Duplicate",IF(P199="Late (real act)","Late","Excluded"))))))</f>
        <v/>
      </c>
      <c r="R199" s="47" t="n"/>
      <c r="S199" s="43" t="n"/>
      <c r="T199" s="43" t="n"/>
      <c r="U199" s="43" t="n"/>
      <c r="V199" s="47" t="n"/>
      <c r="W199" s="47" t="n"/>
      <c r="X199" s="52" t="n"/>
      <c r="Y199" s="43" t="n"/>
      <c r="Z199" s="55">
        <f>IF(OR(Y199="",Q199=""),"",IF(Y199=Q199,"OK","MISMATCH"))</f>
        <v/>
      </c>
      <c r="AA199" s="43" t="n"/>
    </row>
    <row r="200" ht="15" customHeight="1" s="35">
      <c r="A200" s="43" t="n"/>
      <c r="B200" s="47" t="n"/>
      <c r="C200" s="47" t="n"/>
      <c r="D200" s="47" t="n"/>
      <c r="E200" s="43" t="n"/>
      <c r="F200" s="52" t="n"/>
      <c r="G200" s="43" t="n"/>
      <c r="H200" s="51" t="n"/>
      <c r="I200" s="53">
        <f>IF(B200&lt;&gt;"Expected","",IF(C200="Parking Obstruction",IF(G200="Validation",Settings!$B$9,Settings!$B$8),IF(C200="Drinking",IF(G200="Validation",Settings!$B$11,Settings!$B$10),0)))</f>
        <v/>
      </c>
      <c r="J200" s="54">
        <f>IF(OR(B200&lt;&gt;"Expected",D200&lt;&gt;"Violation",H200=""),"",H200+I200+Settings!$B$5)</f>
        <v/>
      </c>
      <c r="K200" s="43" t="n"/>
      <c r="L200" s="51" t="n"/>
      <c r="M200" s="43" t="n"/>
      <c r="N200" s="54">
        <f>IF(AND(B200="Expected",D200="Violation",K200&lt;&gt;"",ISNUMBER(L200),ISNUMBER(H200)),L200-H200-I200,"")</f>
        <v/>
      </c>
      <c r="O200" s="43" t="n"/>
      <c r="P200" s="47" t="n"/>
      <c r="Q200" s="55">
        <f>IF(A200="","",IF(B200="Expected",IF(D200="Violation",IF(H200="","Needs start",IF(AND(K200&lt;&gt;"",OR(M200&lt;&gt;"Monitoring",Settings!$B$7="Yes"),ISNUMBER(L200),L200&lt;=J200),"TP","FN")),IF(AND(K200&lt;&gt;"",OR(M200&lt;&gt;"Monitoring",Settings!$B$7="Yes")),"FP","TN")),IF(P200="","Needs tag",IF(OR(P200="False alarm",P200="Unscripted – false alarm"),"FP",IF(P200="Duplicate","Duplicate",IF(P200="Late (real act)","Late","Excluded"))))))</f>
        <v/>
      </c>
      <c r="R200" s="47" t="n"/>
      <c r="S200" s="43" t="n"/>
      <c r="T200" s="43" t="n"/>
      <c r="U200" s="43" t="n"/>
      <c r="V200" s="47" t="n"/>
      <c r="W200" s="47" t="n"/>
      <c r="X200" s="52" t="n"/>
      <c r="Y200" s="43" t="n"/>
      <c r="Z200" s="55">
        <f>IF(OR(Y200="",Q200=""),"",IF(Y200=Q200,"OK","MISMATCH"))</f>
        <v/>
      </c>
      <c r="AA200" s="43" t="n"/>
    </row>
    <row r="201" ht="15" customHeight="1" s="35">
      <c r="A201" s="43" t="n"/>
      <c r="B201" s="47" t="n"/>
      <c r="C201" s="47" t="n"/>
      <c r="D201" s="47" t="n"/>
      <c r="E201" s="43" t="n"/>
      <c r="F201" s="52" t="n"/>
      <c r="G201" s="43" t="n"/>
      <c r="H201" s="51" t="n"/>
      <c r="I201" s="53">
        <f>IF(B201&lt;&gt;"Expected","",IF(C201="Parking Obstruction",IF(G201="Validation",Settings!$B$9,Settings!$B$8),IF(C201="Drinking",IF(G201="Validation",Settings!$B$11,Settings!$B$10),0)))</f>
        <v/>
      </c>
      <c r="J201" s="54">
        <f>IF(OR(B201&lt;&gt;"Expected",D201&lt;&gt;"Violation",H201=""),"",H201+I201+Settings!$B$5)</f>
        <v/>
      </c>
      <c r="K201" s="43" t="n"/>
      <c r="L201" s="51" t="n"/>
      <c r="M201" s="43" t="n"/>
      <c r="N201" s="54">
        <f>IF(AND(B201="Expected",D201="Violation",K201&lt;&gt;"",ISNUMBER(L201),ISNUMBER(H201)),L201-H201-I201,"")</f>
        <v/>
      </c>
      <c r="O201" s="43" t="n"/>
      <c r="P201" s="47" t="n"/>
      <c r="Q201" s="55">
        <f>IF(A201="","",IF(B201="Expected",IF(D201="Violation",IF(H201="","Needs start",IF(AND(K201&lt;&gt;"",OR(M201&lt;&gt;"Monitoring",Settings!$B$7="Yes"),ISNUMBER(L201),L201&lt;=J201),"TP","FN")),IF(AND(K201&lt;&gt;"",OR(M201&lt;&gt;"Monitoring",Settings!$B$7="Yes")),"FP","TN")),IF(P201="","Needs tag",IF(OR(P201="False alarm",P201="Unscripted – false alarm"),"FP",IF(P201="Duplicate","Duplicate",IF(P201="Late (real act)","Late","Excluded"))))))</f>
        <v/>
      </c>
      <c r="R201" s="47" t="n"/>
      <c r="S201" s="43" t="n"/>
      <c r="T201" s="43" t="n"/>
      <c r="U201" s="43" t="n"/>
      <c r="V201" s="47" t="n"/>
      <c r="W201" s="47" t="n"/>
      <c r="X201" s="52" t="n"/>
      <c r="Y201" s="43" t="n"/>
      <c r="Z201" s="55">
        <f>IF(OR(Y201="",Q201=""),"",IF(Y201=Q201,"OK","MISMATCH"))</f>
        <v/>
      </c>
      <c r="AA201" s="43" t="n"/>
    </row>
    <row r="202" ht="15" customHeight="1" s="35">
      <c r="A202" s="43" t="n"/>
      <c r="B202" s="47" t="n"/>
      <c r="C202" s="47" t="n"/>
      <c r="D202" s="47" t="n"/>
      <c r="E202" s="43" t="n"/>
      <c r="F202" s="52" t="n"/>
      <c r="G202" s="43" t="n"/>
      <c r="H202" s="51" t="n"/>
      <c r="I202" s="53">
        <f>IF(B202&lt;&gt;"Expected","",IF(C202="Parking Obstruction",IF(G202="Validation",Settings!$B$9,Settings!$B$8),IF(C202="Drinking",IF(G202="Validation",Settings!$B$11,Settings!$B$10),0)))</f>
        <v/>
      </c>
      <c r="J202" s="54">
        <f>IF(OR(B202&lt;&gt;"Expected",D202&lt;&gt;"Violation",H202=""),"",H202+I202+Settings!$B$5)</f>
        <v/>
      </c>
      <c r="K202" s="43" t="n"/>
      <c r="L202" s="51" t="n"/>
      <c r="M202" s="43" t="n"/>
      <c r="N202" s="54">
        <f>IF(AND(B202="Expected",D202="Violation",K202&lt;&gt;"",ISNUMBER(L202),ISNUMBER(H202)),L202-H202-I202,"")</f>
        <v/>
      </c>
      <c r="O202" s="43" t="n"/>
      <c r="P202" s="47" t="n"/>
      <c r="Q202" s="55">
        <f>IF(A202="","",IF(B202="Expected",IF(D202="Violation",IF(H202="","Needs start",IF(AND(K202&lt;&gt;"",OR(M202&lt;&gt;"Monitoring",Settings!$B$7="Yes"),ISNUMBER(L202),L202&lt;=J202),"TP","FN")),IF(AND(K202&lt;&gt;"",OR(M202&lt;&gt;"Monitoring",Settings!$B$7="Yes")),"FP","TN")),IF(P202="","Needs tag",IF(OR(P202="False alarm",P202="Unscripted – false alarm"),"FP",IF(P202="Duplicate","Duplicate",IF(P202="Late (real act)","Late","Excluded"))))))</f>
        <v/>
      </c>
      <c r="R202" s="47" t="n"/>
      <c r="S202" s="43" t="n"/>
      <c r="T202" s="43" t="n"/>
      <c r="U202" s="43" t="n"/>
      <c r="V202" s="47" t="n"/>
      <c r="W202" s="47" t="n"/>
      <c r="X202" s="52" t="n"/>
      <c r="Y202" s="43" t="n"/>
      <c r="Z202" s="55">
        <f>IF(OR(Y202="",Q202=""),"",IF(Y202=Q202,"OK","MISMATCH"))</f>
        <v/>
      </c>
      <c r="AA202" s="43" t="n"/>
    </row>
    <row r="203" ht="15" customHeight="1" s="35">
      <c r="A203" s="43" t="n"/>
      <c r="B203" s="47" t="n"/>
      <c r="C203" s="47" t="n"/>
      <c r="D203" s="47" t="n"/>
      <c r="E203" s="43" t="n"/>
      <c r="F203" s="52" t="n"/>
      <c r="G203" s="43" t="n"/>
      <c r="H203" s="51" t="n"/>
      <c r="I203" s="53">
        <f>IF(B203&lt;&gt;"Expected","",IF(C203="Parking Obstruction",IF(G203="Validation",Settings!$B$9,Settings!$B$8),IF(C203="Drinking",IF(G203="Validation",Settings!$B$11,Settings!$B$10),0)))</f>
        <v/>
      </c>
      <c r="J203" s="54">
        <f>IF(OR(B203&lt;&gt;"Expected",D203&lt;&gt;"Violation",H203=""),"",H203+I203+Settings!$B$5)</f>
        <v/>
      </c>
      <c r="K203" s="43" t="n"/>
      <c r="L203" s="51" t="n"/>
      <c r="M203" s="43" t="n"/>
      <c r="N203" s="54">
        <f>IF(AND(B203="Expected",D203="Violation",K203&lt;&gt;"",ISNUMBER(L203),ISNUMBER(H203)),L203-H203-I203,"")</f>
        <v/>
      </c>
      <c r="O203" s="43" t="n"/>
      <c r="P203" s="47" t="n"/>
      <c r="Q203" s="55">
        <f>IF(A203="","",IF(B203="Expected",IF(D203="Violation",IF(H203="","Needs start",IF(AND(K203&lt;&gt;"",OR(M203&lt;&gt;"Monitoring",Settings!$B$7="Yes"),ISNUMBER(L203),L203&lt;=J203),"TP","FN")),IF(AND(K203&lt;&gt;"",OR(M203&lt;&gt;"Monitoring",Settings!$B$7="Yes")),"FP","TN")),IF(P203="","Needs tag",IF(OR(P203="False alarm",P203="Unscripted – false alarm"),"FP",IF(P203="Duplicate","Duplicate",IF(P203="Late (real act)","Late","Excluded"))))))</f>
        <v/>
      </c>
      <c r="R203" s="47" t="n"/>
      <c r="S203" s="43" t="n"/>
      <c r="T203" s="43" t="n"/>
      <c r="U203" s="43" t="n"/>
      <c r="V203" s="47" t="n"/>
      <c r="W203" s="47" t="n"/>
      <c r="X203" s="52" t="n"/>
      <c r="Y203" s="43" t="n"/>
      <c r="Z203" s="55">
        <f>IF(OR(Y203="",Q203=""),"",IF(Y203=Q203,"OK","MISMATCH"))</f>
        <v/>
      </c>
      <c r="AA203" s="43" t="n"/>
    </row>
    <row r="204" ht="15" customHeight="1" s="35">
      <c r="A204" s="43" t="n"/>
      <c r="B204" s="47" t="n"/>
      <c r="C204" s="47" t="n"/>
      <c r="D204" s="47" t="n"/>
      <c r="E204" s="43" t="n"/>
      <c r="F204" s="52" t="n"/>
      <c r="G204" s="43" t="n"/>
      <c r="H204" s="51" t="n"/>
      <c r="I204" s="53">
        <f>IF(B204&lt;&gt;"Expected","",IF(C204="Parking Obstruction",IF(G204="Validation",Settings!$B$9,Settings!$B$8),IF(C204="Drinking",IF(G204="Validation",Settings!$B$11,Settings!$B$10),0)))</f>
        <v/>
      </c>
      <c r="J204" s="54">
        <f>IF(OR(B204&lt;&gt;"Expected",D204&lt;&gt;"Violation",H204=""),"",H204+I204+Settings!$B$5)</f>
        <v/>
      </c>
      <c r="K204" s="43" t="n"/>
      <c r="L204" s="51" t="n"/>
      <c r="M204" s="43" t="n"/>
      <c r="N204" s="54">
        <f>IF(AND(B204="Expected",D204="Violation",K204&lt;&gt;"",ISNUMBER(L204),ISNUMBER(H204)),L204-H204-I204,"")</f>
        <v/>
      </c>
      <c r="O204" s="43" t="n"/>
      <c r="P204" s="47" t="n"/>
      <c r="Q204" s="55">
        <f>IF(A204="","",IF(B204="Expected",IF(D204="Violation",IF(H204="","Needs start",IF(AND(K204&lt;&gt;"",OR(M204&lt;&gt;"Monitoring",Settings!$B$7="Yes"),ISNUMBER(L204),L204&lt;=J204),"TP","FN")),IF(AND(K204&lt;&gt;"",OR(M204&lt;&gt;"Monitoring",Settings!$B$7="Yes")),"FP","TN")),IF(P204="","Needs tag",IF(OR(P204="False alarm",P204="Unscripted – false alarm"),"FP",IF(P204="Duplicate","Duplicate",IF(P204="Late (real act)","Late","Excluded"))))))</f>
        <v/>
      </c>
      <c r="R204" s="47" t="n"/>
      <c r="S204" s="43" t="n"/>
      <c r="T204" s="43" t="n"/>
      <c r="U204" s="43" t="n"/>
      <c r="V204" s="47" t="n"/>
      <c r="W204" s="47" t="n"/>
      <c r="X204" s="52" t="n"/>
      <c r="Y204" s="43" t="n"/>
      <c r="Z204" s="55">
        <f>IF(OR(Y204="",Q204=""),"",IF(Y204=Q204,"OK","MISMATCH"))</f>
        <v/>
      </c>
      <c r="AA204" s="43" t="n"/>
    </row>
    <row r="205" ht="15" customHeight="1" s="35">
      <c r="A205" s="43" t="n"/>
      <c r="B205" s="47" t="n"/>
      <c r="C205" s="47" t="n"/>
      <c r="D205" s="47" t="n"/>
      <c r="E205" s="43" t="n"/>
      <c r="F205" s="52" t="n"/>
      <c r="G205" s="43" t="n"/>
      <c r="H205" s="51" t="n"/>
      <c r="I205" s="53">
        <f>IF(B205&lt;&gt;"Expected","",IF(C205="Parking Obstruction",IF(G205="Validation",Settings!$B$9,Settings!$B$8),IF(C205="Drinking",IF(G205="Validation",Settings!$B$11,Settings!$B$10),0)))</f>
        <v/>
      </c>
      <c r="J205" s="54">
        <f>IF(OR(B205&lt;&gt;"Expected",D205&lt;&gt;"Violation",H205=""),"",H205+I205+Settings!$B$5)</f>
        <v/>
      </c>
      <c r="K205" s="43" t="n"/>
      <c r="L205" s="51" t="n"/>
      <c r="M205" s="43" t="n"/>
      <c r="N205" s="54">
        <f>IF(AND(B205="Expected",D205="Violation",K205&lt;&gt;"",ISNUMBER(L205),ISNUMBER(H205)),L205-H205-I205,"")</f>
        <v/>
      </c>
      <c r="O205" s="43" t="n"/>
      <c r="P205" s="47" t="n"/>
      <c r="Q205" s="55">
        <f>IF(A205="","",IF(B205="Expected",IF(D205="Violation",IF(H205="","Needs start",IF(AND(K205&lt;&gt;"",OR(M205&lt;&gt;"Monitoring",Settings!$B$7="Yes"),ISNUMBER(L205),L205&lt;=J205),"TP","FN")),IF(AND(K205&lt;&gt;"",OR(M205&lt;&gt;"Monitoring",Settings!$B$7="Yes")),"FP","TN")),IF(P205="","Needs tag",IF(OR(P205="False alarm",P205="Unscripted – false alarm"),"FP",IF(P205="Duplicate","Duplicate",IF(P205="Late (real act)","Late","Excluded"))))))</f>
        <v/>
      </c>
      <c r="R205" s="47" t="n"/>
      <c r="S205" s="43" t="n"/>
      <c r="T205" s="43" t="n"/>
      <c r="U205" s="43" t="n"/>
      <c r="V205" s="47" t="n"/>
      <c r="W205" s="47" t="n"/>
      <c r="X205" s="52" t="n"/>
      <c r="Y205" s="43" t="n"/>
      <c r="Z205" s="55">
        <f>IF(OR(Y205="",Q205=""),"",IF(Y205=Q205,"OK","MISMATCH"))</f>
        <v/>
      </c>
      <c r="AA205" s="43" t="n"/>
    </row>
    <row r="206" ht="15" customHeight="1" s="35">
      <c r="A206" s="43" t="n"/>
      <c r="B206" s="47" t="n"/>
      <c r="C206" s="47" t="n"/>
      <c r="D206" s="47" t="n"/>
      <c r="E206" s="43" t="n"/>
      <c r="F206" s="52" t="n"/>
      <c r="G206" s="43" t="n"/>
      <c r="H206" s="51" t="n"/>
      <c r="I206" s="53">
        <f>IF(B206&lt;&gt;"Expected","",IF(C206="Parking Obstruction",IF(G206="Validation",Settings!$B$9,Settings!$B$8),IF(C206="Drinking",IF(G206="Validation",Settings!$B$11,Settings!$B$10),0)))</f>
        <v/>
      </c>
      <c r="J206" s="54">
        <f>IF(OR(B206&lt;&gt;"Expected",D206&lt;&gt;"Violation",H206=""),"",H206+I206+Settings!$B$5)</f>
        <v/>
      </c>
      <c r="K206" s="43" t="n"/>
      <c r="L206" s="51" t="n"/>
      <c r="M206" s="43" t="n"/>
      <c r="N206" s="54">
        <f>IF(AND(B206="Expected",D206="Violation",K206&lt;&gt;"",ISNUMBER(L206),ISNUMBER(H206)),L206-H206-I206,"")</f>
        <v/>
      </c>
      <c r="O206" s="43" t="n"/>
      <c r="P206" s="47" t="n"/>
      <c r="Q206" s="55">
        <f>IF(A206="","",IF(B206="Expected",IF(D206="Violation",IF(H206="","Needs start",IF(AND(K206&lt;&gt;"",OR(M206&lt;&gt;"Monitoring",Settings!$B$7="Yes"),ISNUMBER(L206),L206&lt;=J206),"TP","FN")),IF(AND(K206&lt;&gt;"",OR(M206&lt;&gt;"Monitoring",Settings!$B$7="Yes")),"FP","TN")),IF(P206="","Needs tag",IF(OR(P206="False alarm",P206="Unscripted – false alarm"),"FP",IF(P206="Duplicate","Duplicate",IF(P206="Late (real act)","Late","Excluded"))))))</f>
        <v/>
      </c>
      <c r="R206" s="47" t="n"/>
      <c r="S206" s="43" t="n"/>
      <c r="T206" s="43" t="n"/>
      <c r="U206" s="43" t="n"/>
      <c r="V206" s="47" t="n"/>
      <c r="W206" s="47" t="n"/>
      <c r="X206" s="52" t="n"/>
      <c r="Y206" s="43" t="n"/>
      <c r="Z206" s="55">
        <f>IF(OR(Y206="",Q206=""),"",IF(Y206=Q206,"OK","MISMATCH"))</f>
        <v/>
      </c>
      <c r="AA206" s="43" t="n"/>
    </row>
    <row r="207" ht="15" customHeight="1" s="35">
      <c r="A207" s="43" t="n"/>
      <c r="B207" s="47" t="n"/>
      <c r="C207" s="47" t="n"/>
      <c r="D207" s="47" t="n"/>
      <c r="E207" s="43" t="n"/>
      <c r="F207" s="52" t="n"/>
      <c r="G207" s="43" t="n"/>
      <c r="H207" s="51" t="n"/>
      <c r="I207" s="53">
        <f>IF(B207&lt;&gt;"Expected","",IF(C207="Parking Obstruction",IF(G207="Validation",Settings!$B$9,Settings!$B$8),IF(C207="Drinking",IF(G207="Validation",Settings!$B$11,Settings!$B$10),0)))</f>
        <v/>
      </c>
      <c r="J207" s="54">
        <f>IF(OR(B207&lt;&gt;"Expected",D207&lt;&gt;"Violation",H207=""),"",H207+I207+Settings!$B$5)</f>
        <v/>
      </c>
      <c r="K207" s="43" t="n"/>
      <c r="L207" s="51" t="n"/>
      <c r="M207" s="43" t="n"/>
      <c r="N207" s="54">
        <f>IF(AND(B207="Expected",D207="Violation",K207&lt;&gt;"",ISNUMBER(L207),ISNUMBER(H207)),L207-H207-I207,"")</f>
        <v/>
      </c>
      <c r="O207" s="43" t="n"/>
      <c r="P207" s="47" t="n"/>
      <c r="Q207" s="55">
        <f>IF(A207="","",IF(B207="Expected",IF(D207="Violation",IF(H207="","Needs start",IF(AND(K207&lt;&gt;"",OR(M207&lt;&gt;"Monitoring",Settings!$B$7="Yes"),ISNUMBER(L207),L207&lt;=J207),"TP","FN")),IF(AND(K207&lt;&gt;"",OR(M207&lt;&gt;"Monitoring",Settings!$B$7="Yes")),"FP","TN")),IF(P207="","Needs tag",IF(OR(P207="False alarm",P207="Unscripted – false alarm"),"FP",IF(P207="Duplicate","Duplicate",IF(P207="Late (real act)","Late","Excluded"))))))</f>
        <v/>
      </c>
      <c r="R207" s="47" t="n"/>
      <c r="S207" s="43" t="n"/>
      <c r="T207" s="43" t="n"/>
      <c r="U207" s="43" t="n"/>
      <c r="V207" s="47" t="n"/>
      <c r="W207" s="47" t="n"/>
      <c r="X207" s="52" t="n"/>
      <c r="Y207" s="43" t="n"/>
      <c r="Z207" s="55">
        <f>IF(OR(Y207="",Q207=""),"",IF(Y207=Q207,"OK","MISMATCH"))</f>
        <v/>
      </c>
      <c r="AA207" s="43" t="n"/>
    </row>
    <row r="208" ht="15" customHeight="1" s="35">
      <c r="A208" s="43" t="n"/>
      <c r="B208" s="47" t="n"/>
      <c r="C208" s="47" t="n"/>
      <c r="D208" s="47" t="n"/>
      <c r="E208" s="43" t="n"/>
      <c r="F208" s="52" t="n"/>
      <c r="G208" s="43" t="n"/>
      <c r="H208" s="51" t="n"/>
      <c r="I208" s="53">
        <f>IF(B208&lt;&gt;"Expected","",IF(C208="Parking Obstruction",IF(G208="Validation",Settings!$B$9,Settings!$B$8),IF(C208="Drinking",IF(G208="Validation",Settings!$B$11,Settings!$B$10),0)))</f>
        <v/>
      </c>
      <c r="J208" s="54">
        <f>IF(OR(B208&lt;&gt;"Expected",D208&lt;&gt;"Violation",H208=""),"",H208+I208+Settings!$B$5)</f>
        <v/>
      </c>
      <c r="K208" s="43" t="n"/>
      <c r="L208" s="51" t="n"/>
      <c r="M208" s="43" t="n"/>
      <c r="N208" s="54">
        <f>IF(AND(B208="Expected",D208="Violation",K208&lt;&gt;"",ISNUMBER(L208),ISNUMBER(H208)),L208-H208-I208,"")</f>
        <v/>
      </c>
      <c r="O208" s="43" t="n"/>
      <c r="P208" s="47" t="n"/>
      <c r="Q208" s="55">
        <f>IF(A208="","",IF(B208="Expected",IF(D208="Violation",IF(H208="","Needs start",IF(AND(K208&lt;&gt;"",OR(M208&lt;&gt;"Monitoring",Settings!$B$7="Yes"),ISNUMBER(L208),L208&lt;=J208),"TP","FN")),IF(AND(K208&lt;&gt;"",OR(M208&lt;&gt;"Monitoring",Settings!$B$7="Yes")),"FP","TN")),IF(P208="","Needs tag",IF(OR(P208="False alarm",P208="Unscripted – false alarm"),"FP",IF(P208="Duplicate","Duplicate",IF(P208="Late (real act)","Late","Excluded"))))))</f>
        <v/>
      </c>
      <c r="R208" s="47" t="n"/>
      <c r="S208" s="43" t="n"/>
      <c r="T208" s="43" t="n"/>
      <c r="U208" s="43" t="n"/>
      <c r="V208" s="47" t="n"/>
      <c r="W208" s="47" t="n"/>
      <c r="X208" s="52" t="n"/>
      <c r="Y208" s="43" t="n"/>
      <c r="Z208" s="55">
        <f>IF(OR(Y208="",Q208=""),"",IF(Y208=Q208,"OK","MISMATCH"))</f>
        <v/>
      </c>
      <c r="AA208" s="43" t="n"/>
    </row>
    <row r="209" ht="15" customHeight="1" s="35">
      <c r="A209" s="43" t="n"/>
      <c r="B209" s="47" t="n"/>
      <c r="C209" s="47" t="n"/>
      <c r="D209" s="47" t="n"/>
      <c r="E209" s="43" t="n"/>
      <c r="F209" s="52" t="n"/>
      <c r="G209" s="43" t="n"/>
      <c r="H209" s="51" t="n"/>
      <c r="I209" s="53">
        <f>IF(B209&lt;&gt;"Expected","",IF(C209="Parking Obstruction",IF(G209="Validation",Settings!$B$9,Settings!$B$8),IF(C209="Drinking",IF(G209="Validation",Settings!$B$11,Settings!$B$10),0)))</f>
        <v/>
      </c>
      <c r="J209" s="54">
        <f>IF(OR(B209&lt;&gt;"Expected",D209&lt;&gt;"Violation",H209=""),"",H209+I209+Settings!$B$5)</f>
        <v/>
      </c>
      <c r="K209" s="43" t="n"/>
      <c r="L209" s="51" t="n"/>
      <c r="M209" s="43" t="n"/>
      <c r="N209" s="54">
        <f>IF(AND(B209="Expected",D209="Violation",K209&lt;&gt;"",ISNUMBER(L209),ISNUMBER(H209)),L209-H209-I209,"")</f>
        <v/>
      </c>
      <c r="O209" s="43" t="n"/>
      <c r="P209" s="47" t="n"/>
      <c r="Q209" s="55">
        <f>IF(A209="","",IF(B209="Expected",IF(D209="Violation",IF(H209="","Needs start",IF(AND(K209&lt;&gt;"",OR(M209&lt;&gt;"Monitoring",Settings!$B$7="Yes"),ISNUMBER(L209),L209&lt;=J209),"TP","FN")),IF(AND(K209&lt;&gt;"",OR(M209&lt;&gt;"Monitoring",Settings!$B$7="Yes")),"FP","TN")),IF(P209="","Needs tag",IF(OR(P209="False alarm",P209="Unscripted – false alarm"),"FP",IF(P209="Duplicate","Duplicate",IF(P209="Late (real act)","Late","Excluded"))))))</f>
        <v/>
      </c>
      <c r="R209" s="47" t="n"/>
      <c r="S209" s="43" t="n"/>
      <c r="T209" s="43" t="n"/>
      <c r="U209" s="43" t="n"/>
      <c r="V209" s="47" t="n"/>
      <c r="W209" s="47" t="n"/>
      <c r="X209" s="52" t="n"/>
      <c r="Y209" s="43" t="n"/>
      <c r="Z209" s="55">
        <f>IF(OR(Y209="",Q209=""),"",IF(Y209=Q209,"OK","MISMATCH"))</f>
        <v/>
      </c>
      <c r="AA209" s="43" t="n"/>
    </row>
    <row r="210" ht="15" customHeight="1" s="35">
      <c r="A210" s="43" t="n"/>
      <c r="B210" s="47" t="n"/>
      <c r="C210" s="47" t="n"/>
      <c r="D210" s="47" t="n"/>
      <c r="E210" s="43" t="n"/>
      <c r="F210" s="52" t="n"/>
      <c r="G210" s="43" t="n"/>
      <c r="H210" s="51" t="n"/>
      <c r="I210" s="53">
        <f>IF(B210&lt;&gt;"Expected","",IF(C210="Parking Obstruction",IF(G210="Validation",Settings!$B$9,Settings!$B$8),IF(C210="Drinking",IF(G210="Validation",Settings!$B$11,Settings!$B$10),0)))</f>
        <v/>
      </c>
      <c r="J210" s="54">
        <f>IF(OR(B210&lt;&gt;"Expected",D210&lt;&gt;"Violation",H210=""),"",H210+I210+Settings!$B$5)</f>
        <v/>
      </c>
      <c r="K210" s="43" t="n"/>
      <c r="L210" s="51" t="n"/>
      <c r="M210" s="43" t="n"/>
      <c r="N210" s="54">
        <f>IF(AND(B210="Expected",D210="Violation",K210&lt;&gt;"",ISNUMBER(L210),ISNUMBER(H210)),L210-H210-I210,"")</f>
        <v/>
      </c>
      <c r="O210" s="43" t="n"/>
      <c r="P210" s="47" t="n"/>
      <c r="Q210" s="55">
        <f>IF(A210="","",IF(B210="Expected",IF(D210="Violation",IF(H210="","Needs start",IF(AND(K210&lt;&gt;"",OR(M210&lt;&gt;"Monitoring",Settings!$B$7="Yes"),ISNUMBER(L210),L210&lt;=J210),"TP","FN")),IF(AND(K210&lt;&gt;"",OR(M210&lt;&gt;"Monitoring",Settings!$B$7="Yes")),"FP","TN")),IF(P210="","Needs tag",IF(OR(P210="False alarm",P210="Unscripted – false alarm"),"FP",IF(P210="Duplicate","Duplicate",IF(P210="Late (real act)","Late","Excluded"))))))</f>
        <v/>
      </c>
      <c r="R210" s="47" t="n"/>
      <c r="S210" s="43" t="n"/>
      <c r="T210" s="43" t="n"/>
      <c r="U210" s="43" t="n"/>
      <c r="V210" s="47" t="n"/>
      <c r="W210" s="47" t="n"/>
      <c r="X210" s="52" t="n"/>
      <c r="Y210" s="43" t="n"/>
      <c r="Z210" s="55">
        <f>IF(OR(Y210="",Q210=""),"",IF(Y210=Q210,"OK","MISMATCH"))</f>
        <v/>
      </c>
      <c r="AA210" s="43" t="n"/>
    </row>
    <row r="211" ht="15" customHeight="1" s="35">
      <c r="A211" s="43" t="n"/>
      <c r="B211" s="47" t="n"/>
      <c r="C211" s="47" t="n"/>
      <c r="D211" s="47" t="n"/>
      <c r="E211" s="43" t="n"/>
      <c r="F211" s="52" t="n"/>
      <c r="G211" s="43" t="n"/>
      <c r="H211" s="51" t="n"/>
      <c r="I211" s="53">
        <f>IF(B211&lt;&gt;"Expected","",IF(C211="Parking Obstruction",IF(G211="Validation",Settings!$B$9,Settings!$B$8),IF(C211="Drinking",IF(G211="Validation",Settings!$B$11,Settings!$B$10),0)))</f>
        <v/>
      </c>
      <c r="J211" s="54">
        <f>IF(OR(B211&lt;&gt;"Expected",D211&lt;&gt;"Violation",H211=""),"",H211+I211+Settings!$B$5)</f>
        <v/>
      </c>
      <c r="K211" s="43" t="n"/>
      <c r="L211" s="51" t="n"/>
      <c r="M211" s="43" t="n"/>
      <c r="N211" s="54">
        <f>IF(AND(B211="Expected",D211="Violation",K211&lt;&gt;"",ISNUMBER(L211),ISNUMBER(H211)),L211-H211-I211,"")</f>
        <v/>
      </c>
      <c r="O211" s="43" t="n"/>
      <c r="P211" s="47" t="n"/>
      <c r="Q211" s="55">
        <f>IF(A211="","",IF(B211="Expected",IF(D211="Violation",IF(H211="","Needs start",IF(AND(K211&lt;&gt;"",OR(M211&lt;&gt;"Monitoring",Settings!$B$7="Yes"),ISNUMBER(L211),L211&lt;=J211),"TP","FN")),IF(AND(K211&lt;&gt;"",OR(M211&lt;&gt;"Monitoring",Settings!$B$7="Yes")),"FP","TN")),IF(P211="","Needs tag",IF(OR(P211="False alarm",P211="Unscripted – false alarm"),"FP",IF(P211="Duplicate","Duplicate",IF(P211="Late (real act)","Late","Excluded"))))))</f>
        <v/>
      </c>
      <c r="R211" s="47" t="n"/>
      <c r="S211" s="43" t="n"/>
      <c r="T211" s="43" t="n"/>
      <c r="U211" s="43" t="n"/>
      <c r="V211" s="47" t="n"/>
      <c r="W211" s="47" t="n"/>
      <c r="X211" s="52" t="n"/>
      <c r="Y211" s="43" t="n"/>
      <c r="Z211" s="55">
        <f>IF(OR(Y211="",Q211=""),"",IF(Y211=Q211,"OK","MISMATCH"))</f>
        <v/>
      </c>
      <c r="AA211" s="43" t="n"/>
    </row>
    <row r="212" ht="15" customHeight="1" s="35">
      <c r="A212" s="43" t="n"/>
      <c r="B212" s="47" t="n"/>
      <c r="C212" s="47" t="n"/>
      <c r="D212" s="47" t="n"/>
      <c r="E212" s="43" t="n"/>
      <c r="F212" s="52" t="n"/>
      <c r="G212" s="43" t="n"/>
      <c r="H212" s="51" t="n"/>
      <c r="I212" s="53">
        <f>IF(B212&lt;&gt;"Expected","",IF(C212="Parking Obstruction",IF(G212="Validation",Settings!$B$9,Settings!$B$8),IF(C212="Drinking",IF(G212="Validation",Settings!$B$11,Settings!$B$10),0)))</f>
        <v/>
      </c>
      <c r="J212" s="54">
        <f>IF(OR(B212&lt;&gt;"Expected",D212&lt;&gt;"Violation",H212=""),"",H212+I212+Settings!$B$5)</f>
        <v/>
      </c>
      <c r="K212" s="43" t="n"/>
      <c r="L212" s="51" t="n"/>
      <c r="M212" s="43" t="n"/>
      <c r="N212" s="54">
        <f>IF(AND(B212="Expected",D212="Violation",K212&lt;&gt;"",ISNUMBER(L212),ISNUMBER(H212)),L212-H212-I212,"")</f>
        <v/>
      </c>
      <c r="O212" s="43" t="n"/>
      <c r="P212" s="47" t="n"/>
      <c r="Q212" s="55">
        <f>IF(A212="","",IF(B212="Expected",IF(D212="Violation",IF(H212="","Needs start",IF(AND(K212&lt;&gt;"",OR(M212&lt;&gt;"Monitoring",Settings!$B$7="Yes"),ISNUMBER(L212),L212&lt;=J212),"TP","FN")),IF(AND(K212&lt;&gt;"",OR(M212&lt;&gt;"Monitoring",Settings!$B$7="Yes")),"FP","TN")),IF(P212="","Needs tag",IF(OR(P212="False alarm",P212="Unscripted – false alarm"),"FP",IF(P212="Duplicate","Duplicate",IF(P212="Late (real act)","Late","Excluded"))))))</f>
        <v/>
      </c>
      <c r="R212" s="47" t="n"/>
      <c r="S212" s="43" t="n"/>
      <c r="T212" s="43" t="n"/>
      <c r="U212" s="43" t="n"/>
      <c r="V212" s="47" t="n"/>
      <c r="W212" s="47" t="n"/>
      <c r="X212" s="52" t="n"/>
      <c r="Y212" s="43" t="n"/>
      <c r="Z212" s="55">
        <f>IF(OR(Y212="",Q212=""),"",IF(Y212=Q212,"OK","MISMATCH"))</f>
        <v/>
      </c>
      <c r="AA212" s="43" t="n"/>
    </row>
    <row r="213" ht="15" customHeight="1" s="35">
      <c r="A213" s="43" t="n"/>
      <c r="B213" s="47" t="n"/>
      <c r="C213" s="47" t="n"/>
      <c r="D213" s="47" t="n"/>
      <c r="E213" s="43" t="n"/>
      <c r="F213" s="52" t="n"/>
      <c r="G213" s="43" t="n"/>
      <c r="H213" s="51" t="n"/>
      <c r="I213" s="53">
        <f>IF(B213&lt;&gt;"Expected","",IF(C213="Parking Obstruction",IF(G213="Validation",Settings!$B$9,Settings!$B$8),IF(C213="Drinking",IF(G213="Validation",Settings!$B$11,Settings!$B$10),0)))</f>
        <v/>
      </c>
      <c r="J213" s="54">
        <f>IF(OR(B213&lt;&gt;"Expected",D213&lt;&gt;"Violation",H213=""),"",H213+I213+Settings!$B$5)</f>
        <v/>
      </c>
      <c r="K213" s="43" t="n"/>
      <c r="L213" s="51" t="n"/>
      <c r="M213" s="43" t="n"/>
      <c r="N213" s="54">
        <f>IF(AND(B213="Expected",D213="Violation",K213&lt;&gt;"",ISNUMBER(L213),ISNUMBER(H213)),L213-H213-I213,"")</f>
        <v/>
      </c>
      <c r="O213" s="43" t="n"/>
      <c r="P213" s="47" t="n"/>
      <c r="Q213" s="55">
        <f>IF(A213="","",IF(B213="Expected",IF(D213="Violation",IF(H213="","Needs start",IF(AND(K213&lt;&gt;"",OR(M213&lt;&gt;"Monitoring",Settings!$B$7="Yes"),ISNUMBER(L213),L213&lt;=J213),"TP","FN")),IF(AND(K213&lt;&gt;"",OR(M213&lt;&gt;"Monitoring",Settings!$B$7="Yes")),"FP","TN")),IF(P213="","Needs tag",IF(OR(P213="False alarm",P213="Unscripted – false alarm"),"FP",IF(P213="Duplicate","Duplicate",IF(P213="Late (real act)","Late","Excluded"))))))</f>
        <v/>
      </c>
      <c r="R213" s="47" t="n"/>
      <c r="S213" s="43" t="n"/>
      <c r="T213" s="43" t="n"/>
      <c r="U213" s="43" t="n"/>
      <c r="V213" s="47" t="n"/>
      <c r="W213" s="47" t="n"/>
      <c r="X213" s="52" t="n"/>
      <c r="Y213" s="43" t="n"/>
      <c r="Z213" s="55">
        <f>IF(OR(Y213="",Q213=""),"",IF(Y213=Q213,"OK","MISMATCH"))</f>
        <v/>
      </c>
      <c r="AA213" s="43" t="n"/>
    </row>
    <row r="214" ht="15" customHeight="1" s="35">
      <c r="A214" s="43" t="n"/>
      <c r="B214" s="47" t="n"/>
      <c r="C214" s="47" t="n"/>
      <c r="D214" s="47" t="n"/>
      <c r="E214" s="43" t="n"/>
      <c r="F214" s="52" t="n"/>
      <c r="G214" s="43" t="n"/>
      <c r="H214" s="51" t="n"/>
      <c r="I214" s="53">
        <f>IF(B214&lt;&gt;"Expected","",IF(C214="Parking Obstruction",IF(G214="Validation",Settings!$B$9,Settings!$B$8),IF(C214="Drinking",IF(G214="Validation",Settings!$B$11,Settings!$B$10),0)))</f>
        <v/>
      </c>
      <c r="J214" s="54">
        <f>IF(OR(B214&lt;&gt;"Expected",D214&lt;&gt;"Violation",H214=""),"",H214+I214+Settings!$B$5)</f>
        <v/>
      </c>
      <c r="K214" s="43" t="n"/>
      <c r="L214" s="51" t="n"/>
      <c r="M214" s="43" t="n"/>
      <c r="N214" s="54">
        <f>IF(AND(B214="Expected",D214="Violation",K214&lt;&gt;"",ISNUMBER(L214),ISNUMBER(H214)),L214-H214-I214,"")</f>
        <v/>
      </c>
      <c r="O214" s="43" t="n"/>
      <c r="P214" s="47" t="n"/>
      <c r="Q214" s="55">
        <f>IF(A214="","",IF(B214="Expected",IF(D214="Violation",IF(H214="","Needs start",IF(AND(K214&lt;&gt;"",OR(M214&lt;&gt;"Monitoring",Settings!$B$7="Yes"),ISNUMBER(L214),L214&lt;=J214),"TP","FN")),IF(AND(K214&lt;&gt;"",OR(M214&lt;&gt;"Monitoring",Settings!$B$7="Yes")),"FP","TN")),IF(P214="","Needs tag",IF(OR(P214="False alarm",P214="Unscripted – false alarm"),"FP",IF(P214="Duplicate","Duplicate",IF(P214="Late (real act)","Late","Excluded"))))))</f>
        <v/>
      </c>
      <c r="R214" s="47" t="n"/>
      <c r="S214" s="43" t="n"/>
      <c r="T214" s="43" t="n"/>
      <c r="U214" s="43" t="n"/>
      <c r="V214" s="47" t="n"/>
      <c r="W214" s="47" t="n"/>
      <c r="X214" s="52" t="n"/>
      <c r="Y214" s="43" t="n"/>
      <c r="Z214" s="55">
        <f>IF(OR(Y214="",Q214=""),"",IF(Y214=Q214,"OK","MISMATCH"))</f>
        <v/>
      </c>
      <c r="AA214" s="43" t="n"/>
    </row>
    <row r="215" ht="15" customHeight="1" s="35">
      <c r="A215" s="43" t="n"/>
      <c r="B215" s="47" t="n"/>
      <c r="C215" s="47" t="n"/>
      <c r="D215" s="47" t="n"/>
      <c r="E215" s="43" t="n"/>
      <c r="F215" s="52" t="n"/>
      <c r="G215" s="43" t="n"/>
      <c r="H215" s="51" t="n"/>
      <c r="I215" s="53">
        <f>IF(B215&lt;&gt;"Expected","",IF(C215="Parking Obstruction",IF(G215="Validation",Settings!$B$9,Settings!$B$8),IF(C215="Drinking",IF(G215="Validation",Settings!$B$11,Settings!$B$10),0)))</f>
        <v/>
      </c>
      <c r="J215" s="54">
        <f>IF(OR(B215&lt;&gt;"Expected",D215&lt;&gt;"Violation",H215=""),"",H215+I215+Settings!$B$5)</f>
        <v/>
      </c>
      <c r="K215" s="43" t="n"/>
      <c r="L215" s="51" t="n"/>
      <c r="M215" s="43" t="n"/>
      <c r="N215" s="54">
        <f>IF(AND(B215="Expected",D215="Violation",K215&lt;&gt;"",ISNUMBER(L215),ISNUMBER(H215)),L215-H215-I215,"")</f>
        <v/>
      </c>
      <c r="O215" s="43" t="n"/>
      <c r="P215" s="47" t="n"/>
      <c r="Q215" s="55">
        <f>IF(A215="","",IF(B215="Expected",IF(D215="Violation",IF(H215="","Needs start",IF(AND(K215&lt;&gt;"",OR(M215&lt;&gt;"Monitoring",Settings!$B$7="Yes"),ISNUMBER(L215),L215&lt;=J215),"TP","FN")),IF(AND(K215&lt;&gt;"",OR(M215&lt;&gt;"Monitoring",Settings!$B$7="Yes")),"FP","TN")),IF(P215="","Needs tag",IF(OR(P215="False alarm",P215="Unscripted – false alarm"),"FP",IF(P215="Duplicate","Duplicate",IF(P215="Late (real act)","Late","Excluded"))))))</f>
        <v/>
      </c>
      <c r="R215" s="47" t="n"/>
      <c r="S215" s="43" t="n"/>
      <c r="T215" s="43" t="n"/>
      <c r="U215" s="43" t="n"/>
      <c r="V215" s="47" t="n"/>
      <c r="W215" s="47" t="n"/>
      <c r="X215" s="52" t="n"/>
      <c r="Y215" s="43" t="n"/>
      <c r="Z215" s="55">
        <f>IF(OR(Y215="",Q215=""),"",IF(Y215=Q215,"OK","MISMATCH"))</f>
        <v/>
      </c>
      <c r="AA215" s="43" t="n"/>
    </row>
    <row r="216" ht="15" customHeight="1" s="35">
      <c r="A216" s="43" t="n"/>
      <c r="B216" s="47" t="n"/>
      <c r="C216" s="47" t="n"/>
      <c r="D216" s="47" t="n"/>
      <c r="E216" s="43" t="n"/>
      <c r="F216" s="52" t="n"/>
      <c r="G216" s="43" t="n"/>
      <c r="H216" s="51" t="n"/>
      <c r="I216" s="53">
        <f>IF(B216&lt;&gt;"Expected","",IF(C216="Parking Obstruction",IF(G216="Validation",Settings!$B$9,Settings!$B$8),IF(C216="Drinking",IF(G216="Validation",Settings!$B$11,Settings!$B$10),0)))</f>
        <v/>
      </c>
      <c r="J216" s="54">
        <f>IF(OR(B216&lt;&gt;"Expected",D216&lt;&gt;"Violation",H216=""),"",H216+I216+Settings!$B$5)</f>
        <v/>
      </c>
      <c r="K216" s="43" t="n"/>
      <c r="L216" s="51" t="n"/>
      <c r="M216" s="43" t="n"/>
      <c r="N216" s="54">
        <f>IF(AND(B216="Expected",D216="Violation",K216&lt;&gt;"",ISNUMBER(L216),ISNUMBER(H216)),L216-H216-I216,"")</f>
        <v/>
      </c>
      <c r="O216" s="43" t="n"/>
      <c r="P216" s="47" t="n"/>
      <c r="Q216" s="55">
        <f>IF(A216="","",IF(B216="Expected",IF(D216="Violation",IF(H216="","Needs start",IF(AND(K216&lt;&gt;"",OR(M216&lt;&gt;"Monitoring",Settings!$B$7="Yes"),ISNUMBER(L216),L216&lt;=J216),"TP","FN")),IF(AND(K216&lt;&gt;"",OR(M216&lt;&gt;"Monitoring",Settings!$B$7="Yes")),"FP","TN")),IF(P216="","Needs tag",IF(OR(P216="False alarm",P216="Unscripted – false alarm"),"FP",IF(P216="Duplicate","Duplicate",IF(P216="Late (real act)","Late","Excluded"))))))</f>
        <v/>
      </c>
      <c r="R216" s="47" t="n"/>
      <c r="S216" s="43" t="n"/>
      <c r="T216" s="43" t="n"/>
      <c r="U216" s="43" t="n"/>
      <c r="V216" s="47" t="n"/>
      <c r="W216" s="47" t="n"/>
      <c r="X216" s="52" t="n"/>
      <c r="Y216" s="43" t="n"/>
      <c r="Z216" s="55">
        <f>IF(OR(Y216="",Q216=""),"",IF(Y216=Q216,"OK","MISMATCH"))</f>
        <v/>
      </c>
      <c r="AA216" s="43" t="n"/>
    </row>
    <row r="217" ht="15" customHeight="1" s="35">
      <c r="A217" s="43" t="n"/>
      <c r="B217" s="47" t="n"/>
      <c r="C217" s="47" t="n"/>
      <c r="D217" s="47" t="n"/>
      <c r="E217" s="43" t="n"/>
      <c r="F217" s="52" t="n"/>
      <c r="G217" s="43" t="n"/>
      <c r="H217" s="51" t="n"/>
      <c r="I217" s="53">
        <f>IF(B217&lt;&gt;"Expected","",IF(C217="Parking Obstruction",IF(G217="Validation",Settings!$B$9,Settings!$B$8),IF(C217="Drinking",IF(G217="Validation",Settings!$B$11,Settings!$B$10),0)))</f>
        <v/>
      </c>
      <c r="J217" s="54">
        <f>IF(OR(B217&lt;&gt;"Expected",D217&lt;&gt;"Violation",H217=""),"",H217+I217+Settings!$B$5)</f>
        <v/>
      </c>
      <c r="K217" s="43" t="n"/>
      <c r="L217" s="51" t="n"/>
      <c r="M217" s="43" t="n"/>
      <c r="N217" s="54">
        <f>IF(AND(B217="Expected",D217="Violation",K217&lt;&gt;"",ISNUMBER(L217),ISNUMBER(H217)),L217-H217-I217,"")</f>
        <v/>
      </c>
      <c r="O217" s="43" t="n"/>
      <c r="P217" s="47" t="n"/>
      <c r="Q217" s="55">
        <f>IF(A217="","",IF(B217="Expected",IF(D217="Violation",IF(H217="","Needs start",IF(AND(K217&lt;&gt;"",OR(M217&lt;&gt;"Monitoring",Settings!$B$7="Yes"),ISNUMBER(L217),L217&lt;=J217),"TP","FN")),IF(AND(K217&lt;&gt;"",OR(M217&lt;&gt;"Monitoring",Settings!$B$7="Yes")),"FP","TN")),IF(P217="","Needs tag",IF(OR(P217="False alarm",P217="Unscripted – false alarm"),"FP",IF(P217="Duplicate","Duplicate",IF(P217="Late (real act)","Late","Excluded"))))))</f>
        <v/>
      </c>
      <c r="R217" s="47" t="n"/>
      <c r="S217" s="43" t="n"/>
      <c r="T217" s="43" t="n"/>
      <c r="U217" s="43" t="n"/>
      <c r="V217" s="47" t="n"/>
      <c r="W217" s="47" t="n"/>
      <c r="X217" s="52" t="n"/>
      <c r="Y217" s="43" t="n"/>
      <c r="Z217" s="55">
        <f>IF(OR(Y217="",Q217=""),"",IF(Y217=Q217,"OK","MISMATCH"))</f>
        <v/>
      </c>
      <c r="AA217" s="43" t="n"/>
    </row>
    <row r="218" ht="15" customHeight="1" s="35">
      <c r="A218" s="43" t="n"/>
      <c r="B218" s="47" t="n"/>
      <c r="C218" s="47" t="n"/>
      <c r="D218" s="47" t="n"/>
      <c r="E218" s="43" t="n"/>
      <c r="F218" s="52" t="n"/>
      <c r="G218" s="43" t="n"/>
      <c r="H218" s="51" t="n"/>
      <c r="I218" s="53">
        <f>IF(B218&lt;&gt;"Expected","",IF(C218="Parking Obstruction",IF(G218="Validation",Settings!$B$9,Settings!$B$8),IF(C218="Drinking",IF(G218="Validation",Settings!$B$11,Settings!$B$10),0)))</f>
        <v/>
      </c>
      <c r="J218" s="54">
        <f>IF(OR(B218&lt;&gt;"Expected",D218&lt;&gt;"Violation",H218=""),"",H218+I218+Settings!$B$5)</f>
        <v/>
      </c>
      <c r="K218" s="43" t="n"/>
      <c r="L218" s="51" t="n"/>
      <c r="M218" s="43" t="n"/>
      <c r="N218" s="54">
        <f>IF(AND(B218="Expected",D218="Violation",K218&lt;&gt;"",ISNUMBER(L218),ISNUMBER(H218)),L218-H218-I218,"")</f>
        <v/>
      </c>
      <c r="O218" s="43" t="n"/>
      <c r="P218" s="47" t="n"/>
      <c r="Q218" s="55">
        <f>IF(A218="","",IF(B218="Expected",IF(D218="Violation",IF(H218="","Needs start",IF(AND(K218&lt;&gt;"",OR(M218&lt;&gt;"Monitoring",Settings!$B$7="Yes"),ISNUMBER(L218),L218&lt;=J218),"TP","FN")),IF(AND(K218&lt;&gt;"",OR(M218&lt;&gt;"Monitoring",Settings!$B$7="Yes")),"FP","TN")),IF(P218="","Needs tag",IF(OR(P218="False alarm",P218="Unscripted – false alarm"),"FP",IF(P218="Duplicate","Duplicate",IF(P218="Late (real act)","Late","Excluded"))))))</f>
        <v/>
      </c>
      <c r="R218" s="47" t="n"/>
      <c r="S218" s="43" t="n"/>
      <c r="T218" s="43" t="n"/>
      <c r="U218" s="43" t="n"/>
      <c r="V218" s="47" t="n"/>
      <c r="W218" s="47" t="n"/>
      <c r="X218" s="52" t="n"/>
      <c r="Y218" s="43" t="n"/>
      <c r="Z218" s="55">
        <f>IF(OR(Y218="",Q218=""),"",IF(Y218=Q218,"OK","MISMATCH"))</f>
        <v/>
      </c>
      <c r="AA218" s="43" t="n"/>
    </row>
    <row r="219" ht="15" customHeight="1" s="35">
      <c r="A219" s="43" t="n"/>
      <c r="B219" s="47" t="n"/>
      <c r="C219" s="47" t="n"/>
      <c r="D219" s="47" t="n"/>
      <c r="E219" s="43" t="n"/>
      <c r="F219" s="52" t="n"/>
      <c r="G219" s="43" t="n"/>
      <c r="H219" s="51" t="n"/>
      <c r="I219" s="53">
        <f>IF(B219&lt;&gt;"Expected","",IF(C219="Parking Obstruction",IF(G219="Validation",Settings!$B$9,Settings!$B$8),IF(C219="Drinking",IF(G219="Validation",Settings!$B$11,Settings!$B$10),0)))</f>
        <v/>
      </c>
      <c r="J219" s="54">
        <f>IF(OR(B219&lt;&gt;"Expected",D219&lt;&gt;"Violation",H219=""),"",H219+I219+Settings!$B$5)</f>
        <v/>
      </c>
      <c r="K219" s="43" t="n"/>
      <c r="L219" s="51" t="n"/>
      <c r="M219" s="43" t="n"/>
      <c r="N219" s="54">
        <f>IF(AND(B219="Expected",D219="Violation",K219&lt;&gt;"",ISNUMBER(L219),ISNUMBER(H219)),L219-H219-I219,"")</f>
        <v/>
      </c>
      <c r="O219" s="43" t="n"/>
      <c r="P219" s="47" t="n"/>
      <c r="Q219" s="55">
        <f>IF(A219="","",IF(B219="Expected",IF(D219="Violation",IF(H219="","Needs start",IF(AND(K219&lt;&gt;"",OR(M219&lt;&gt;"Monitoring",Settings!$B$7="Yes"),ISNUMBER(L219),L219&lt;=J219),"TP","FN")),IF(AND(K219&lt;&gt;"",OR(M219&lt;&gt;"Monitoring",Settings!$B$7="Yes")),"FP","TN")),IF(P219="","Needs tag",IF(OR(P219="False alarm",P219="Unscripted – false alarm"),"FP",IF(P219="Duplicate","Duplicate",IF(P219="Late (real act)","Late","Excluded"))))))</f>
        <v/>
      </c>
      <c r="R219" s="47" t="n"/>
      <c r="S219" s="43" t="n"/>
      <c r="T219" s="43" t="n"/>
      <c r="U219" s="43" t="n"/>
      <c r="V219" s="47" t="n"/>
      <c r="W219" s="47" t="n"/>
      <c r="X219" s="52" t="n"/>
      <c r="Y219" s="43" t="n"/>
      <c r="Z219" s="55">
        <f>IF(OR(Y219="",Q219=""),"",IF(Y219=Q219,"OK","MISMATCH"))</f>
        <v/>
      </c>
      <c r="AA219" s="43" t="n"/>
    </row>
    <row r="220" ht="15" customHeight="1" s="35">
      <c r="A220" s="43" t="n"/>
      <c r="B220" s="47" t="n"/>
      <c r="C220" s="47" t="n"/>
      <c r="D220" s="47" t="n"/>
      <c r="E220" s="43" t="n"/>
      <c r="F220" s="52" t="n"/>
      <c r="G220" s="43" t="n"/>
      <c r="H220" s="51" t="n"/>
      <c r="I220" s="53">
        <f>IF(B220&lt;&gt;"Expected","",IF(C220="Parking Obstruction",IF(G220="Validation",Settings!$B$9,Settings!$B$8),IF(C220="Drinking",IF(G220="Validation",Settings!$B$11,Settings!$B$10),0)))</f>
        <v/>
      </c>
      <c r="J220" s="54">
        <f>IF(OR(B220&lt;&gt;"Expected",D220&lt;&gt;"Violation",H220=""),"",H220+I220+Settings!$B$5)</f>
        <v/>
      </c>
      <c r="K220" s="43" t="n"/>
      <c r="L220" s="51" t="n"/>
      <c r="M220" s="43" t="n"/>
      <c r="N220" s="54">
        <f>IF(AND(B220="Expected",D220="Violation",K220&lt;&gt;"",ISNUMBER(L220),ISNUMBER(H220)),L220-H220-I220,"")</f>
        <v/>
      </c>
      <c r="O220" s="43" t="n"/>
      <c r="P220" s="47" t="n"/>
      <c r="Q220" s="55">
        <f>IF(A220="","",IF(B220="Expected",IF(D220="Violation",IF(H220="","Needs start",IF(AND(K220&lt;&gt;"",OR(M220&lt;&gt;"Monitoring",Settings!$B$7="Yes"),ISNUMBER(L220),L220&lt;=J220),"TP","FN")),IF(AND(K220&lt;&gt;"",OR(M220&lt;&gt;"Monitoring",Settings!$B$7="Yes")),"FP","TN")),IF(P220="","Needs tag",IF(OR(P220="False alarm",P220="Unscripted – false alarm"),"FP",IF(P220="Duplicate","Duplicate",IF(P220="Late (real act)","Late","Excluded"))))))</f>
        <v/>
      </c>
      <c r="R220" s="47" t="n"/>
      <c r="S220" s="43" t="n"/>
      <c r="T220" s="43" t="n"/>
      <c r="U220" s="43" t="n"/>
      <c r="V220" s="47" t="n"/>
      <c r="W220" s="47" t="n"/>
      <c r="X220" s="52" t="n"/>
      <c r="Y220" s="43" t="n"/>
      <c r="Z220" s="55">
        <f>IF(OR(Y220="",Q220=""),"",IF(Y220=Q220,"OK","MISMATCH"))</f>
        <v/>
      </c>
      <c r="AA220" s="43" t="n"/>
    </row>
    <row r="221" ht="15" customHeight="1" s="35">
      <c r="A221" s="43" t="n"/>
      <c r="B221" s="47" t="n"/>
      <c r="C221" s="47" t="n"/>
      <c r="D221" s="47" t="n"/>
      <c r="E221" s="43" t="n"/>
      <c r="F221" s="52" t="n"/>
      <c r="G221" s="43" t="n"/>
      <c r="H221" s="51" t="n"/>
      <c r="I221" s="53">
        <f>IF(B221&lt;&gt;"Expected","",IF(C221="Parking Obstruction",IF(G221="Validation",Settings!$B$9,Settings!$B$8),IF(C221="Drinking",IF(G221="Validation",Settings!$B$11,Settings!$B$10),0)))</f>
        <v/>
      </c>
      <c r="J221" s="54">
        <f>IF(OR(B221&lt;&gt;"Expected",D221&lt;&gt;"Violation",H221=""),"",H221+I221+Settings!$B$5)</f>
        <v/>
      </c>
      <c r="K221" s="43" t="n"/>
      <c r="L221" s="51" t="n"/>
      <c r="M221" s="43" t="n"/>
      <c r="N221" s="54">
        <f>IF(AND(B221="Expected",D221="Violation",K221&lt;&gt;"",ISNUMBER(L221),ISNUMBER(H221)),L221-H221-I221,"")</f>
        <v/>
      </c>
      <c r="O221" s="43" t="n"/>
      <c r="P221" s="47" t="n"/>
      <c r="Q221" s="55">
        <f>IF(A221="","",IF(B221="Expected",IF(D221="Violation",IF(H221="","Needs start",IF(AND(K221&lt;&gt;"",OR(M221&lt;&gt;"Monitoring",Settings!$B$7="Yes"),ISNUMBER(L221),L221&lt;=J221),"TP","FN")),IF(AND(K221&lt;&gt;"",OR(M221&lt;&gt;"Monitoring",Settings!$B$7="Yes")),"FP","TN")),IF(P221="","Needs tag",IF(OR(P221="False alarm",P221="Unscripted – false alarm"),"FP",IF(P221="Duplicate","Duplicate",IF(P221="Late (real act)","Late","Excluded"))))))</f>
        <v/>
      </c>
      <c r="R221" s="47" t="n"/>
      <c r="S221" s="43" t="n"/>
      <c r="T221" s="43" t="n"/>
      <c r="U221" s="43" t="n"/>
      <c r="V221" s="47" t="n"/>
      <c r="W221" s="47" t="n"/>
      <c r="X221" s="52" t="n"/>
      <c r="Y221" s="43" t="n"/>
      <c r="Z221" s="55">
        <f>IF(OR(Y221="",Q221=""),"",IF(Y221=Q221,"OK","MISMATCH"))</f>
        <v/>
      </c>
      <c r="AA221" s="43" t="n"/>
    </row>
    <row r="222" ht="15" customHeight="1" s="35">
      <c r="A222" s="43" t="n"/>
      <c r="B222" s="47" t="n"/>
      <c r="C222" s="47" t="n"/>
      <c r="D222" s="47" t="n"/>
      <c r="E222" s="43" t="n"/>
      <c r="F222" s="52" t="n"/>
      <c r="G222" s="43" t="n"/>
      <c r="H222" s="51" t="n"/>
      <c r="I222" s="53">
        <f>IF(B222&lt;&gt;"Expected","",IF(C222="Parking Obstruction",IF(G222="Validation",Settings!$B$9,Settings!$B$8),IF(C222="Drinking",IF(G222="Validation",Settings!$B$11,Settings!$B$10),0)))</f>
        <v/>
      </c>
      <c r="J222" s="54">
        <f>IF(OR(B222&lt;&gt;"Expected",D222&lt;&gt;"Violation",H222=""),"",H222+I222+Settings!$B$5)</f>
        <v/>
      </c>
      <c r="K222" s="43" t="n"/>
      <c r="L222" s="51" t="n"/>
      <c r="M222" s="43" t="n"/>
      <c r="N222" s="54">
        <f>IF(AND(B222="Expected",D222="Violation",K222&lt;&gt;"",ISNUMBER(L222),ISNUMBER(H222)),L222-H222-I222,"")</f>
        <v/>
      </c>
      <c r="O222" s="43" t="n"/>
      <c r="P222" s="47" t="n"/>
      <c r="Q222" s="55">
        <f>IF(A222="","",IF(B222="Expected",IF(D222="Violation",IF(H222="","Needs start",IF(AND(K222&lt;&gt;"",OR(M222&lt;&gt;"Monitoring",Settings!$B$7="Yes"),ISNUMBER(L222),L222&lt;=J222),"TP","FN")),IF(AND(K222&lt;&gt;"",OR(M222&lt;&gt;"Monitoring",Settings!$B$7="Yes")),"FP","TN")),IF(P222="","Needs tag",IF(OR(P222="False alarm",P222="Unscripted – false alarm"),"FP",IF(P222="Duplicate","Duplicate",IF(P222="Late (real act)","Late","Excluded"))))))</f>
        <v/>
      </c>
      <c r="R222" s="47" t="n"/>
      <c r="S222" s="43" t="n"/>
      <c r="T222" s="43" t="n"/>
      <c r="U222" s="43" t="n"/>
      <c r="V222" s="47" t="n"/>
      <c r="W222" s="47" t="n"/>
      <c r="X222" s="52" t="n"/>
      <c r="Y222" s="43" t="n"/>
      <c r="Z222" s="55">
        <f>IF(OR(Y222="",Q222=""),"",IF(Y222=Q222,"OK","MISMATCH"))</f>
        <v/>
      </c>
      <c r="AA222" s="43" t="n"/>
    </row>
    <row r="223" ht="15" customHeight="1" s="35">
      <c r="A223" s="43" t="n"/>
      <c r="B223" s="47" t="n"/>
      <c r="C223" s="47" t="n"/>
      <c r="D223" s="47" t="n"/>
      <c r="E223" s="43" t="n"/>
      <c r="F223" s="52" t="n"/>
      <c r="G223" s="43" t="n"/>
      <c r="H223" s="51" t="n"/>
      <c r="I223" s="53">
        <f>IF(B223&lt;&gt;"Expected","",IF(C223="Parking Obstruction",IF(G223="Validation",Settings!$B$9,Settings!$B$8),IF(C223="Drinking",IF(G223="Validation",Settings!$B$11,Settings!$B$10),0)))</f>
        <v/>
      </c>
      <c r="J223" s="54">
        <f>IF(OR(B223&lt;&gt;"Expected",D223&lt;&gt;"Violation",H223=""),"",H223+I223+Settings!$B$5)</f>
        <v/>
      </c>
      <c r="K223" s="43" t="n"/>
      <c r="L223" s="51" t="n"/>
      <c r="M223" s="43" t="n"/>
      <c r="N223" s="54">
        <f>IF(AND(B223="Expected",D223="Violation",K223&lt;&gt;"",ISNUMBER(L223),ISNUMBER(H223)),L223-H223-I223,"")</f>
        <v/>
      </c>
      <c r="O223" s="43" t="n"/>
      <c r="P223" s="47" t="n"/>
      <c r="Q223" s="55">
        <f>IF(A223="","",IF(B223="Expected",IF(D223="Violation",IF(H223="","Needs start",IF(AND(K223&lt;&gt;"",OR(M223&lt;&gt;"Monitoring",Settings!$B$7="Yes"),ISNUMBER(L223),L223&lt;=J223),"TP","FN")),IF(AND(K223&lt;&gt;"",OR(M223&lt;&gt;"Monitoring",Settings!$B$7="Yes")),"FP","TN")),IF(P223="","Needs tag",IF(OR(P223="False alarm",P223="Unscripted – false alarm"),"FP",IF(P223="Duplicate","Duplicate",IF(P223="Late (real act)","Late","Excluded"))))))</f>
        <v/>
      </c>
      <c r="R223" s="47" t="n"/>
      <c r="S223" s="43" t="n"/>
      <c r="T223" s="43" t="n"/>
      <c r="U223" s="43" t="n"/>
      <c r="V223" s="47" t="n"/>
      <c r="W223" s="47" t="n"/>
      <c r="X223" s="52" t="n"/>
      <c r="Y223" s="43" t="n"/>
      <c r="Z223" s="55">
        <f>IF(OR(Y223="",Q223=""),"",IF(Y223=Q223,"OK","MISMATCH"))</f>
        <v/>
      </c>
      <c r="AA223" s="43" t="n"/>
    </row>
    <row r="224" ht="15" customHeight="1" s="35">
      <c r="A224" s="43" t="n"/>
      <c r="B224" s="47" t="n"/>
      <c r="C224" s="47" t="n"/>
      <c r="D224" s="47" t="n"/>
      <c r="E224" s="43" t="n"/>
      <c r="F224" s="52" t="n"/>
      <c r="G224" s="43" t="n"/>
      <c r="H224" s="51" t="n"/>
      <c r="I224" s="53">
        <f>IF(B224&lt;&gt;"Expected","",IF(C224="Parking Obstruction",IF(G224="Validation",Settings!$B$9,Settings!$B$8),IF(C224="Drinking",IF(G224="Validation",Settings!$B$11,Settings!$B$10),0)))</f>
        <v/>
      </c>
      <c r="J224" s="54">
        <f>IF(OR(B224&lt;&gt;"Expected",D224&lt;&gt;"Violation",H224=""),"",H224+I224+Settings!$B$5)</f>
        <v/>
      </c>
      <c r="K224" s="43" t="n"/>
      <c r="L224" s="51" t="n"/>
      <c r="M224" s="43" t="n"/>
      <c r="N224" s="54">
        <f>IF(AND(B224="Expected",D224="Violation",K224&lt;&gt;"",ISNUMBER(L224),ISNUMBER(H224)),L224-H224-I224,"")</f>
        <v/>
      </c>
      <c r="O224" s="43" t="n"/>
      <c r="P224" s="47" t="n"/>
      <c r="Q224" s="55">
        <f>IF(A224="","",IF(B224="Expected",IF(D224="Violation",IF(H224="","Needs start",IF(AND(K224&lt;&gt;"",OR(M224&lt;&gt;"Monitoring",Settings!$B$7="Yes"),ISNUMBER(L224),L224&lt;=J224),"TP","FN")),IF(AND(K224&lt;&gt;"",OR(M224&lt;&gt;"Monitoring",Settings!$B$7="Yes")),"FP","TN")),IF(P224="","Needs tag",IF(OR(P224="False alarm",P224="Unscripted – false alarm"),"FP",IF(P224="Duplicate","Duplicate",IF(P224="Late (real act)","Late","Excluded"))))))</f>
        <v/>
      </c>
      <c r="R224" s="47" t="n"/>
      <c r="S224" s="43" t="n"/>
      <c r="T224" s="43" t="n"/>
      <c r="U224" s="43" t="n"/>
      <c r="V224" s="47" t="n"/>
      <c r="W224" s="47" t="n"/>
      <c r="X224" s="52" t="n"/>
      <c r="Y224" s="43" t="n"/>
      <c r="Z224" s="55">
        <f>IF(OR(Y224="",Q224=""),"",IF(Y224=Q224,"OK","MISMATCH"))</f>
        <v/>
      </c>
      <c r="AA224" s="43" t="n"/>
    </row>
    <row r="225" ht="15" customHeight="1" s="35">
      <c r="A225" s="43" t="n"/>
      <c r="B225" s="47" t="n"/>
      <c r="C225" s="47" t="n"/>
      <c r="D225" s="47" t="n"/>
      <c r="E225" s="43" t="n"/>
      <c r="F225" s="52" t="n"/>
      <c r="G225" s="43" t="n"/>
      <c r="H225" s="51" t="n"/>
      <c r="I225" s="53">
        <f>IF(B225&lt;&gt;"Expected","",IF(C225="Parking Obstruction",IF(G225="Validation",Settings!$B$9,Settings!$B$8),IF(C225="Drinking",IF(G225="Validation",Settings!$B$11,Settings!$B$10),0)))</f>
        <v/>
      </c>
      <c r="J225" s="54">
        <f>IF(OR(B225&lt;&gt;"Expected",D225&lt;&gt;"Violation",H225=""),"",H225+I225+Settings!$B$5)</f>
        <v/>
      </c>
      <c r="K225" s="43" t="n"/>
      <c r="L225" s="51" t="n"/>
      <c r="M225" s="43" t="n"/>
      <c r="N225" s="54">
        <f>IF(AND(B225="Expected",D225="Violation",K225&lt;&gt;"",ISNUMBER(L225),ISNUMBER(H225)),L225-H225-I225,"")</f>
        <v/>
      </c>
      <c r="O225" s="43" t="n"/>
      <c r="P225" s="47" t="n"/>
      <c r="Q225" s="55">
        <f>IF(A225="","",IF(B225="Expected",IF(D225="Violation",IF(H225="","Needs start",IF(AND(K225&lt;&gt;"",OR(M225&lt;&gt;"Monitoring",Settings!$B$7="Yes"),ISNUMBER(L225),L225&lt;=J225),"TP","FN")),IF(AND(K225&lt;&gt;"",OR(M225&lt;&gt;"Monitoring",Settings!$B$7="Yes")),"FP","TN")),IF(P225="","Needs tag",IF(OR(P225="False alarm",P225="Unscripted – false alarm"),"FP",IF(P225="Duplicate","Duplicate",IF(P225="Late (real act)","Late","Excluded"))))))</f>
        <v/>
      </c>
      <c r="R225" s="47" t="n"/>
      <c r="S225" s="43" t="n"/>
      <c r="T225" s="43" t="n"/>
      <c r="U225" s="43" t="n"/>
      <c r="V225" s="47" t="n"/>
      <c r="W225" s="47" t="n"/>
      <c r="X225" s="52" t="n"/>
      <c r="Y225" s="43" t="n"/>
      <c r="Z225" s="55">
        <f>IF(OR(Y225="",Q225=""),"",IF(Y225=Q225,"OK","MISMATCH"))</f>
        <v/>
      </c>
      <c r="AA225" s="43" t="n"/>
    </row>
    <row r="226" ht="15" customHeight="1" s="35">
      <c r="A226" s="43" t="n"/>
      <c r="B226" s="47" t="n"/>
      <c r="C226" s="47" t="n"/>
      <c r="D226" s="47" t="n"/>
      <c r="E226" s="43" t="n"/>
      <c r="F226" s="52" t="n"/>
      <c r="G226" s="43" t="n"/>
      <c r="H226" s="51" t="n"/>
      <c r="I226" s="53">
        <f>IF(B226&lt;&gt;"Expected","",IF(C226="Parking Obstruction",IF(G226="Validation",Settings!$B$9,Settings!$B$8),IF(C226="Drinking",IF(G226="Validation",Settings!$B$11,Settings!$B$10),0)))</f>
        <v/>
      </c>
      <c r="J226" s="54">
        <f>IF(OR(B226&lt;&gt;"Expected",D226&lt;&gt;"Violation",H226=""),"",H226+I226+Settings!$B$5)</f>
        <v/>
      </c>
      <c r="K226" s="43" t="n"/>
      <c r="L226" s="51" t="n"/>
      <c r="M226" s="43" t="n"/>
      <c r="N226" s="54">
        <f>IF(AND(B226="Expected",D226="Violation",K226&lt;&gt;"",ISNUMBER(L226),ISNUMBER(H226)),L226-H226-I226,"")</f>
        <v/>
      </c>
      <c r="O226" s="43" t="n"/>
      <c r="P226" s="47" t="n"/>
      <c r="Q226" s="55">
        <f>IF(A226="","",IF(B226="Expected",IF(D226="Violation",IF(H226="","Needs start",IF(AND(K226&lt;&gt;"",OR(M226&lt;&gt;"Monitoring",Settings!$B$7="Yes"),ISNUMBER(L226),L226&lt;=J226),"TP","FN")),IF(AND(K226&lt;&gt;"",OR(M226&lt;&gt;"Monitoring",Settings!$B$7="Yes")),"FP","TN")),IF(P226="","Needs tag",IF(OR(P226="False alarm",P226="Unscripted – false alarm"),"FP",IF(P226="Duplicate","Duplicate",IF(P226="Late (real act)","Late","Excluded"))))))</f>
        <v/>
      </c>
      <c r="R226" s="47" t="n"/>
      <c r="S226" s="43" t="n"/>
      <c r="T226" s="43" t="n"/>
      <c r="U226" s="43" t="n"/>
      <c r="V226" s="47" t="n"/>
      <c r="W226" s="47" t="n"/>
      <c r="X226" s="52" t="n"/>
      <c r="Y226" s="43" t="n"/>
      <c r="Z226" s="55">
        <f>IF(OR(Y226="",Q226=""),"",IF(Y226=Q226,"OK","MISMATCH"))</f>
        <v/>
      </c>
      <c r="AA226" s="43" t="n"/>
    </row>
    <row r="227" ht="15" customHeight="1" s="35">
      <c r="A227" s="43" t="n"/>
      <c r="B227" s="47" t="n"/>
      <c r="C227" s="47" t="n"/>
      <c r="D227" s="47" t="n"/>
      <c r="E227" s="43" t="n"/>
      <c r="F227" s="52" t="n"/>
      <c r="G227" s="43" t="n"/>
      <c r="H227" s="51" t="n"/>
      <c r="I227" s="53">
        <f>IF(B227&lt;&gt;"Expected","",IF(C227="Parking Obstruction",IF(G227="Validation",Settings!$B$9,Settings!$B$8),IF(C227="Drinking",IF(G227="Validation",Settings!$B$11,Settings!$B$10),0)))</f>
        <v/>
      </c>
      <c r="J227" s="54">
        <f>IF(OR(B227&lt;&gt;"Expected",D227&lt;&gt;"Violation",H227=""),"",H227+I227+Settings!$B$5)</f>
        <v/>
      </c>
      <c r="K227" s="43" t="n"/>
      <c r="L227" s="51" t="n"/>
      <c r="M227" s="43" t="n"/>
      <c r="N227" s="54">
        <f>IF(AND(B227="Expected",D227="Violation",K227&lt;&gt;"",ISNUMBER(L227),ISNUMBER(H227)),L227-H227-I227,"")</f>
        <v/>
      </c>
      <c r="O227" s="43" t="n"/>
      <c r="P227" s="47" t="n"/>
      <c r="Q227" s="55">
        <f>IF(A227="","",IF(B227="Expected",IF(D227="Violation",IF(H227="","Needs start",IF(AND(K227&lt;&gt;"",OR(M227&lt;&gt;"Monitoring",Settings!$B$7="Yes"),ISNUMBER(L227),L227&lt;=J227),"TP","FN")),IF(AND(K227&lt;&gt;"",OR(M227&lt;&gt;"Monitoring",Settings!$B$7="Yes")),"FP","TN")),IF(P227="","Needs tag",IF(OR(P227="False alarm",P227="Unscripted – false alarm"),"FP",IF(P227="Duplicate","Duplicate",IF(P227="Late (real act)","Late","Excluded"))))))</f>
        <v/>
      </c>
      <c r="R227" s="47" t="n"/>
      <c r="S227" s="43" t="n"/>
      <c r="T227" s="43" t="n"/>
      <c r="U227" s="43" t="n"/>
      <c r="V227" s="47" t="n"/>
      <c r="W227" s="47" t="n"/>
      <c r="X227" s="52" t="n"/>
      <c r="Y227" s="43" t="n"/>
      <c r="Z227" s="55">
        <f>IF(OR(Y227="",Q227=""),"",IF(Y227=Q227,"OK","MISMATCH"))</f>
        <v/>
      </c>
      <c r="AA227" s="43" t="n"/>
    </row>
    <row r="228" ht="15" customHeight="1" s="35">
      <c r="A228" s="43" t="n"/>
      <c r="B228" s="47" t="n"/>
      <c r="C228" s="47" t="n"/>
      <c r="D228" s="47" t="n"/>
      <c r="E228" s="43" t="n"/>
      <c r="F228" s="52" t="n"/>
      <c r="G228" s="43" t="n"/>
      <c r="H228" s="51" t="n"/>
      <c r="I228" s="53">
        <f>IF(B228&lt;&gt;"Expected","",IF(C228="Parking Obstruction",IF(G228="Validation",Settings!$B$9,Settings!$B$8),IF(C228="Drinking",IF(G228="Validation",Settings!$B$11,Settings!$B$10),0)))</f>
        <v/>
      </c>
      <c r="J228" s="54">
        <f>IF(OR(B228&lt;&gt;"Expected",D228&lt;&gt;"Violation",H228=""),"",H228+I228+Settings!$B$5)</f>
        <v/>
      </c>
      <c r="K228" s="43" t="n"/>
      <c r="L228" s="51" t="n"/>
      <c r="M228" s="43" t="n"/>
      <c r="N228" s="54">
        <f>IF(AND(B228="Expected",D228="Violation",K228&lt;&gt;"",ISNUMBER(L228),ISNUMBER(H228)),L228-H228-I228,"")</f>
        <v/>
      </c>
      <c r="O228" s="43" t="n"/>
      <c r="P228" s="47" t="n"/>
      <c r="Q228" s="55">
        <f>IF(A228="","",IF(B228="Expected",IF(D228="Violation",IF(H228="","Needs start",IF(AND(K228&lt;&gt;"",OR(M228&lt;&gt;"Monitoring",Settings!$B$7="Yes"),ISNUMBER(L228),L228&lt;=J228),"TP","FN")),IF(AND(K228&lt;&gt;"",OR(M228&lt;&gt;"Monitoring",Settings!$B$7="Yes")),"FP","TN")),IF(P228="","Needs tag",IF(OR(P228="False alarm",P228="Unscripted – false alarm"),"FP",IF(P228="Duplicate","Duplicate",IF(P228="Late (real act)","Late","Excluded"))))))</f>
        <v/>
      </c>
      <c r="R228" s="47" t="n"/>
      <c r="S228" s="43" t="n"/>
      <c r="T228" s="43" t="n"/>
      <c r="U228" s="43" t="n"/>
      <c r="V228" s="47" t="n"/>
      <c r="W228" s="47" t="n"/>
      <c r="X228" s="52" t="n"/>
      <c r="Y228" s="43" t="n"/>
      <c r="Z228" s="55">
        <f>IF(OR(Y228="",Q228=""),"",IF(Y228=Q228,"OK","MISMATCH"))</f>
        <v/>
      </c>
      <c r="AA228" s="43" t="n"/>
    </row>
    <row r="229" ht="15" customHeight="1" s="35">
      <c r="A229" s="43" t="n"/>
      <c r="B229" s="47" t="n"/>
      <c r="C229" s="47" t="n"/>
      <c r="D229" s="47" t="n"/>
      <c r="E229" s="43" t="n"/>
      <c r="F229" s="52" t="n"/>
      <c r="G229" s="43" t="n"/>
      <c r="H229" s="51" t="n"/>
      <c r="I229" s="53">
        <f>IF(B229&lt;&gt;"Expected","",IF(C229="Parking Obstruction",IF(G229="Validation",Settings!$B$9,Settings!$B$8),IF(C229="Drinking",IF(G229="Validation",Settings!$B$11,Settings!$B$10),0)))</f>
        <v/>
      </c>
      <c r="J229" s="54">
        <f>IF(OR(B229&lt;&gt;"Expected",D229&lt;&gt;"Violation",H229=""),"",H229+I229+Settings!$B$5)</f>
        <v/>
      </c>
      <c r="K229" s="43" t="n"/>
      <c r="L229" s="51" t="n"/>
      <c r="M229" s="43" t="n"/>
      <c r="N229" s="54">
        <f>IF(AND(B229="Expected",D229="Violation",K229&lt;&gt;"",ISNUMBER(L229),ISNUMBER(H229)),L229-H229-I229,"")</f>
        <v/>
      </c>
      <c r="O229" s="43" t="n"/>
      <c r="P229" s="47" t="n"/>
      <c r="Q229" s="55">
        <f>IF(A229="","",IF(B229="Expected",IF(D229="Violation",IF(H229="","Needs start",IF(AND(K229&lt;&gt;"",OR(M229&lt;&gt;"Monitoring",Settings!$B$7="Yes"),ISNUMBER(L229),L229&lt;=J229),"TP","FN")),IF(AND(K229&lt;&gt;"",OR(M229&lt;&gt;"Monitoring",Settings!$B$7="Yes")),"FP","TN")),IF(P229="","Needs tag",IF(OR(P229="False alarm",P229="Unscripted – false alarm"),"FP",IF(P229="Duplicate","Duplicate",IF(P229="Late (real act)","Late","Excluded"))))))</f>
        <v/>
      </c>
      <c r="R229" s="47" t="n"/>
      <c r="S229" s="43" t="n"/>
      <c r="T229" s="43" t="n"/>
      <c r="U229" s="43" t="n"/>
      <c r="V229" s="47" t="n"/>
      <c r="W229" s="47" t="n"/>
      <c r="X229" s="52" t="n"/>
      <c r="Y229" s="43" t="n"/>
      <c r="Z229" s="55">
        <f>IF(OR(Y229="",Q229=""),"",IF(Y229=Q229,"OK","MISMATCH"))</f>
        <v/>
      </c>
      <c r="AA229" s="43" t="n"/>
    </row>
    <row r="230" ht="15" customHeight="1" s="35">
      <c r="A230" s="43" t="n"/>
      <c r="B230" s="47" t="n"/>
      <c r="C230" s="47" t="n"/>
      <c r="D230" s="47" t="n"/>
      <c r="E230" s="43" t="n"/>
      <c r="F230" s="52" t="n"/>
      <c r="G230" s="43" t="n"/>
      <c r="H230" s="51" t="n"/>
      <c r="I230" s="53">
        <f>IF(B230&lt;&gt;"Expected","",IF(C230="Parking Obstruction",IF(G230="Validation",Settings!$B$9,Settings!$B$8),IF(C230="Drinking",IF(G230="Validation",Settings!$B$11,Settings!$B$10),0)))</f>
        <v/>
      </c>
      <c r="J230" s="54">
        <f>IF(OR(B230&lt;&gt;"Expected",D230&lt;&gt;"Violation",H230=""),"",H230+I230+Settings!$B$5)</f>
        <v/>
      </c>
      <c r="K230" s="43" t="n"/>
      <c r="L230" s="51" t="n"/>
      <c r="M230" s="43" t="n"/>
      <c r="N230" s="54">
        <f>IF(AND(B230="Expected",D230="Violation",K230&lt;&gt;"",ISNUMBER(L230),ISNUMBER(H230)),L230-H230-I230,"")</f>
        <v/>
      </c>
      <c r="O230" s="43" t="n"/>
      <c r="P230" s="47" t="n"/>
      <c r="Q230" s="55">
        <f>IF(A230="","",IF(B230="Expected",IF(D230="Violation",IF(H230="","Needs start",IF(AND(K230&lt;&gt;"",OR(M230&lt;&gt;"Monitoring",Settings!$B$7="Yes"),ISNUMBER(L230),L230&lt;=J230),"TP","FN")),IF(AND(K230&lt;&gt;"",OR(M230&lt;&gt;"Monitoring",Settings!$B$7="Yes")),"FP","TN")),IF(P230="","Needs tag",IF(OR(P230="False alarm",P230="Unscripted – false alarm"),"FP",IF(P230="Duplicate","Duplicate",IF(P230="Late (real act)","Late","Excluded"))))))</f>
        <v/>
      </c>
      <c r="R230" s="47" t="n"/>
      <c r="S230" s="43" t="n"/>
      <c r="T230" s="43" t="n"/>
      <c r="U230" s="43" t="n"/>
      <c r="V230" s="47" t="n"/>
      <c r="W230" s="47" t="n"/>
      <c r="X230" s="52" t="n"/>
      <c r="Y230" s="43" t="n"/>
      <c r="Z230" s="55">
        <f>IF(OR(Y230="",Q230=""),"",IF(Y230=Q230,"OK","MISMATCH"))</f>
        <v/>
      </c>
      <c r="AA230" s="43" t="n"/>
    </row>
    <row r="231" ht="15" customHeight="1" s="35">
      <c r="A231" s="43" t="n"/>
      <c r="B231" s="47" t="n"/>
      <c r="C231" s="47" t="n"/>
      <c r="D231" s="47" t="n"/>
      <c r="E231" s="43" t="n"/>
      <c r="F231" s="52" t="n"/>
      <c r="G231" s="43" t="n"/>
      <c r="H231" s="51" t="n"/>
      <c r="I231" s="53">
        <f>IF(B231&lt;&gt;"Expected","",IF(C231="Parking Obstruction",IF(G231="Validation",Settings!$B$9,Settings!$B$8),IF(C231="Drinking",IF(G231="Validation",Settings!$B$11,Settings!$B$10),0)))</f>
        <v/>
      </c>
      <c r="J231" s="54">
        <f>IF(OR(B231&lt;&gt;"Expected",D231&lt;&gt;"Violation",H231=""),"",H231+I231+Settings!$B$5)</f>
        <v/>
      </c>
      <c r="K231" s="43" t="n"/>
      <c r="L231" s="51" t="n"/>
      <c r="M231" s="43" t="n"/>
      <c r="N231" s="54">
        <f>IF(AND(B231="Expected",D231="Violation",K231&lt;&gt;"",ISNUMBER(L231),ISNUMBER(H231)),L231-H231-I231,"")</f>
        <v/>
      </c>
      <c r="O231" s="43" t="n"/>
      <c r="P231" s="47" t="n"/>
      <c r="Q231" s="55">
        <f>IF(A231="","",IF(B231="Expected",IF(D231="Violation",IF(H231="","Needs start",IF(AND(K231&lt;&gt;"",OR(M231&lt;&gt;"Monitoring",Settings!$B$7="Yes"),ISNUMBER(L231),L231&lt;=J231),"TP","FN")),IF(AND(K231&lt;&gt;"",OR(M231&lt;&gt;"Monitoring",Settings!$B$7="Yes")),"FP","TN")),IF(P231="","Needs tag",IF(OR(P231="False alarm",P231="Unscripted – false alarm"),"FP",IF(P231="Duplicate","Duplicate",IF(P231="Late (real act)","Late","Excluded"))))))</f>
        <v/>
      </c>
      <c r="R231" s="47" t="n"/>
      <c r="S231" s="43" t="n"/>
      <c r="T231" s="43" t="n"/>
      <c r="U231" s="43" t="n"/>
      <c r="V231" s="47" t="n"/>
      <c r="W231" s="47" t="n"/>
      <c r="X231" s="52" t="n"/>
      <c r="Y231" s="43" t="n"/>
      <c r="Z231" s="55">
        <f>IF(OR(Y231="",Q231=""),"",IF(Y231=Q231,"OK","MISMATCH"))</f>
        <v/>
      </c>
      <c r="AA231" s="43" t="n"/>
    </row>
    <row r="232" ht="15" customHeight="1" s="35">
      <c r="A232" s="43" t="n"/>
      <c r="B232" s="47" t="n"/>
      <c r="C232" s="47" t="n"/>
      <c r="D232" s="47" t="n"/>
      <c r="E232" s="43" t="n"/>
      <c r="F232" s="52" t="n"/>
      <c r="G232" s="43" t="n"/>
      <c r="H232" s="51" t="n"/>
      <c r="I232" s="53">
        <f>IF(B232&lt;&gt;"Expected","",IF(C232="Parking Obstruction",IF(G232="Validation",Settings!$B$9,Settings!$B$8),IF(C232="Drinking",IF(G232="Validation",Settings!$B$11,Settings!$B$10),0)))</f>
        <v/>
      </c>
      <c r="J232" s="54">
        <f>IF(OR(B232&lt;&gt;"Expected",D232&lt;&gt;"Violation",H232=""),"",H232+I232+Settings!$B$5)</f>
        <v/>
      </c>
      <c r="K232" s="43" t="n"/>
      <c r="L232" s="51" t="n"/>
      <c r="M232" s="43" t="n"/>
      <c r="N232" s="54">
        <f>IF(AND(B232="Expected",D232="Violation",K232&lt;&gt;"",ISNUMBER(L232),ISNUMBER(H232)),L232-H232-I232,"")</f>
        <v/>
      </c>
      <c r="O232" s="43" t="n"/>
      <c r="P232" s="47" t="n"/>
      <c r="Q232" s="55">
        <f>IF(A232="","",IF(B232="Expected",IF(D232="Violation",IF(H232="","Needs start",IF(AND(K232&lt;&gt;"",OR(M232&lt;&gt;"Monitoring",Settings!$B$7="Yes"),ISNUMBER(L232),L232&lt;=J232),"TP","FN")),IF(AND(K232&lt;&gt;"",OR(M232&lt;&gt;"Monitoring",Settings!$B$7="Yes")),"FP","TN")),IF(P232="","Needs tag",IF(OR(P232="False alarm",P232="Unscripted – false alarm"),"FP",IF(P232="Duplicate","Duplicate",IF(P232="Late (real act)","Late","Excluded"))))))</f>
        <v/>
      </c>
      <c r="R232" s="47" t="n"/>
      <c r="S232" s="43" t="n"/>
      <c r="T232" s="43" t="n"/>
      <c r="U232" s="43" t="n"/>
      <c r="V232" s="47" t="n"/>
      <c r="W232" s="47" t="n"/>
      <c r="X232" s="52" t="n"/>
      <c r="Y232" s="43" t="n"/>
      <c r="Z232" s="55">
        <f>IF(OR(Y232="",Q232=""),"",IF(Y232=Q232,"OK","MISMATCH"))</f>
        <v/>
      </c>
      <c r="AA232" s="43" t="n"/>
    </row>
    <row r="233" ht="15" customHeight="1" s="35">
      <c r="A233" s="43" t="n"/>
      <c r="B233" s="47" t="n"/>
      <c r="C233" s="47" t="n"/>
      <c r="D233" s="47" t="n"/>
      <c r="E233" s="43" t="n"/>
      <c r="F233" s="52" t="n"/>
      <c r="G233" s="43" t="n"/>
      <c r="H233" s="51" t="n"/>
      <c r="I233" s="53">
        <f>IF(B233&lt;&gt;"Expected","",IF(C233="Parking Obstruction",IF(G233="Validation",Settings!$B$9,Settings!$B$8),IF(C233="Drinking",IF(G233="Validation",Settings!$B$11,Settings!$B$10),0)))</f>
        <v/>
      </c>
      <c r="J233" s="54">
        <f>IF(OR(B233&lt;&gt;"Expected",D233&lt;&gt;"Violation",H233=""),"",H233+I233+Settings!$B$5)</f>
        <v/>
      </c>
      <c r="K233" s="43" t="n"/>
      <c r="L233" s="51" t="n"/>
      <c r="M233" s="43" t="n"/>
      <c r="N233" s="54">
        <f>IF(AND(B233="Expected",D233="Violation",K233&lt;&gt;"",ISNUMBER(L233),ISNUMBER(H233)),L233-H233-I233,"")</f>
        <v/>
      </c>
      <c r="O233" s="43" t="n"/>
      <c r="P233" s="47" t="n"/>
      <c r="Q233" s="55">
        <f>IF(A233="","",IF(B233="Expected",IF(D233="Violation",IF(H233="","Needs start",IF(AND(K233&lt;&gt;"",OR(M233&lt;&gt;"Monitoring",Settings!$B$7="Yes"),ISNUMBER(L233),L233&lt;=J233),"TP","FN")),IF(AND(K233&lt;&gt;"",OR(M233&lt;&gt;"Monitoring",Settings!$B$7="Yes")),"FP","TN")),IF(P233="","Needs tag",IF(OR(P233="False alarm",P233="Unscripted – false alarm"),"FP",IF(P233="Duplicate","Duplicate",IF(P233="Late (real act)","Late","Excluded"))))))</f>
        <v/>
      </c>
      <c r="R233" s="47" t="n"/>
      <c r="S233" s="43" t="n"/>
      <c r="T233" s="43" t="n"/>
      <c r="U233" s="43" t="n"/>
      <c r="V233" s="47" t="n"/>
      <c r="W233" s="47" t="n"/>
      <c r="X233" s="52" t="n"/>
      <c r="Y233" s="43" t="n"/>
      <c r="Z233" s="55">
        <f>IF(OR(Y233="",Q233=""),"",IF(Y233=Q233,"OK","MISMATCH"))</f>
        <v/>
      </c>
      <c r="AA233" s="43" t="n"/>
    </row>
    <row r="234" ht="15" customHeight="1" s="35">
      <c r="A234" s="43" t="n"/>
      <c r="B234" s="47" t="n"/>
      <c r="C234" s="47" t="n"/>
      <c r="D234" s="47" t="n"/>
      <c r="E234" s="43" t="n"/>
      <c r="F234" s="52" t="n"/>
      <c r="G234" s="43" t="n"/>
      <c r="H234" s="51" t="n"/>
      <c r="I234" s="53">
        <f>IF(B234&lt;&gt;"Expected","",IF(C234="Parking Obstruction",IF(G234="Validation",Settings!$B$9,Settings!$B$8),IF(C234="Drinking",IF(G234="Validation",Settings!$B$11,Settings!$B$10),0)))</f>
        <v/>
      </c>
      <c r="J234" s="54">
        <f>IF(OR(B234&lt;&gt;"Expected",D234&lt;&gt;"Violation",H234=""),"",H234+I234+Settings!$B$5)</f>
        <v/>
      </c>
      <c r="K234" s="43" t="n"/>
      <c r="L234" s="51" t="n"/>
      <c r="M234" s="43" t="n"/>
      <c r="N234" s="54">
        <f>IF(AND(B234="Expected",D234="Violation",K234&lt;&gt;"",ISNUMBER(L234),ISNUMBER(H234)),L234-H234-I234,"")</f>
        <v/>
      </c>
      <c r="O234" s="43" t="n"/>
      <c r="P234" s="47" t="n"/>
      <c r="Q234" s="55">
        <f>IF(A234="","",IF(B234="Expected",IF(D234="Violation",IF(H234="","Needs start",IF(AND(K234&lt;&gt;"",OR(M234&lt;&gt;"Monitoring",Settings!$B$7="Yes"),ISNUMBER(L234),L234&lt;=J234),"TP","FN")),IF(AND(K234&lt;&gt;"",OR(M234&lt;&gt;"Monitoring",Settings!$B$7="Yes")),"FP","TN")),IF(P234="","Needs tag",IF(OR(P234="False alarm",P234="Unscripted – false alarm"),"FP",IF(P234="Duplicate","Duplicate",IF(P234="Late (real act)","Late","Excluded"))))))</f>
        <v/>
      </c>
      <c r="R234" s="47" t="n"/>
      <c r="S234" s="43" t="n"/>
      <c r="T234" s="43" t="n"/>
      <c r="U234" s="43" t="n"/>
      <c r="V234" s="47" t="n"/>
      <c r="W234" s="47" t="n"/>
      <c r="X234" s="52" t="n"/>
      <c r="Y234" s="43" t="n"/>
      <c r="Z234" s="55">
        <f>IF(OR(Y234="",Q234=""),"",IF(Y234=Q234,"OK","MISMATCH"))</f>
        <v/>
      </c>
      <c r="AA234" s="43" t="n"/>
    </row>
    <row r="235" ht="15" customHeight="1" s="35">
      <c r="A235" s="43" t="n"/>
      <c r="B235" s="47" t="n"/>
      <c r="C235" s="47" t="n"/>
      <c r="D235" s="47" t="n"/>
      <c r="E235" s="43" t="n"/>
      <c r="F235" s="52" t="n"/>
      <c r="G235" s="43" t="n"/>
      <c r="H235" s="51" t="n"/>
      <c r="I235" s="53">
        <f>IF(B235&lt;&gt;"Expected","",IF(C235="Parking Obstruction",IF(G235="Validation",Settings!$B$9,Settings!$B$8),IF(C235="Drinking",IF(G235="Validation",Settings!$B$11,Settings!$B$10),0)))</f>
        <v/>
      </c>
      <c r="J235" s="54">
        <f>IF(OR(B235&lt;&gt;"Expected",D235&lt;&gt;"Violation",H235=""),"",H235+I235+Settings!$B$5)</f>
        <v/>
      </c>
      <c r="K235" s="43" t="n"/>
      <c r="L235" s="51" t="n"/>
      <c r="M235" s="43" t="n"/>
      <c r="N235" s="54">
        <f>IF(AND(B235="Expected",D235="Violation",K235&lt;&gt;"",ISNUMBER(L235),ISNUMBER(H235)),L235-H235-I235,"")</f>
        <v/>
      </c>
      <c r="O235" s="43" t="n"/>
      <c r="P235" s="47" t="n"/>
      <c r="Q235" s="55">
        <f>IF(A235="","",IF(B235="Expected",IF(D235="Violation",IF(H235="","Needs start",IF(AND(K235&lt;&gt;"",OR(M235&lt;&gt;"Monitoring",Settings!$B$7="Yes"),ISNUMBER(L235),L235&lt;=J235),"TP","FN")),IF(AND(K235&lt;&gt;"",OR(M235&lt;&gt;"Monitoring",Settings!$B$7="Yes")),"FP","TN")),IF(P235="","Needs tag",IF(OR(P235="False alarm",P235="Unscripted – false alarm"),"FP",IF(P235="Duplicate","Duplicate",IF(P235="Late (real act)","Late","Excluded"))))))</f>
        <v/>
      </c>
      <c r="R235" s="47" t="n"/>
      <c r="S235" s="43" t="n"/>
      <c r="T235" s="43" t="n"/>
      <c r="U235" s="43" t="n"/>
      <c r="V235" s="47" t="n"/>
      <c r="W235" s="47" t="n"/>
      <c r="X235" s="52" t="n"/>
      <c r="Y235" s="43" t="n"/>
      <c r="Z235" s="55">
        <f>IF(OR(Y235="",Q235=""),"",IF(Y235=Q235,"OK","MISMATCH"))</f>
        <v/>
      </c>
      <c r="AA235" s="43" t="n"/>
    </row>
    <row r="236" ht="15" customHeight="1" s="35">
      <c r="A236" s="43" t="n"/>
      <c r="B236" s="47" t="n"/>
      <c r="C236" s="47" t="n"/>
      <c r="D236" s="47" t="n"/>
      <c r="E236" s="43" t="n"/>
      <c r="F236" s="52" t="n"/>
      <c r="G236" s="43" t="n"/>
      <c r="H236" s="51" t="n"/>
      <c r="I236" s="53">
        <f>IF(B236&lt;&gt;"Expected","",IF(C236="Parking Obstruction",IF(G236="Validation",Settings!$B$9,Settings!$B$8),IF(C236="Drinking",IF(G236="Validation",Settings!$B$11,Settings!$B$10),0)))</f>
        <v/>
      </c>
      <c r="J236" s="54">
        <f>IF(OR(B236&lt;&gt;"Expected",D236&lt;&gt;"Violation",H236=""),"",H236+I236+Settings!$B$5)</f>
        <v/>
      </c>
      <c r="K236" s="43" t="n"/>
      <c r="L236" s="51" t="n"/>
      <c r="M236" s="43" t="n"/>
      <c r="N236" s="54">
        <f>IF(AND(B236="Expected",D236="Violation",K236&lt;&gt;"",ISNUMBER(L236),ISNUMBER(H236)),L236-H236-I236,"")</f>
        <v/>
      </c>
      <c r="O236" s="43" t="n"/>
      <c r="P236" s="47" t="n"/>
      <c r="Q236" s="55">
        <f>IF(A236="","",IF(B236="Expected",IF(D236="Violation",IF(H236="","Needs start",IF(AND(K236&lt;&gt;"",OR(M236&lt;&gt;"Monitoring",Settings!$B$7="Yes"),ISNUMBER(L236),L236&lt;=J236),"TP","FN")),IF(AND(K236&lt;&gt;"",OR(M236&lt;&gt;"Monitoring",Settings!$B$7="Yes")),"FP","TN")),IF(P236="","Needs tag",IF(OR(P236="False alarm",P236="Unscripted – false alarm"),"FP",IF(P236="Duplicate","Duplicate",IF(P236="Late (real act)","Late","Excluded"))))))</f>
        <v/>
      </c>
      <c r="R236" s="47" t="n"/>
      <c r="S236" s="43" t="n"/>
      <c r="T236" s="43" t="n"/>
      <c r="U236" s="43" t="n"/>
      <c r="V236" s="47" t="n"/>
      <c r="W236" s="47" t="n"/>
      <c r="X236" s="52" t="n"/>
      <c r="Y236" s="43" t="n"/>
      <c r="Z236" s="55">
        <f>IF(OR(Y236="",Q236=""),"",IF(Y236=Q236,"OK","MISMATCH"))</f>
        <v/>
      </c>
      <c r="AA236" s="43" t="n"/>
    </row>
    <row r="237" ht="15" customHeight="1" s="35">
      <c r="A237" s="43" t="n"/>
      <c r="B237" s="47" t="n"/>
      <c r="C237" s="47" t="n"/>
      <c r="D237" s="47" t="n"/>
      <c r="E237" s="43" t="n"/>
      <c r="F237" s="52" t="n"/>
      <c r="G237" s="43" t="n"/>
      <c r="H237" s="51" t="n"/>
      <c r="I237" s="53">
        <f>IF(B237&lt;&gt;"Expected","",IF(C237="Parking Obstruction",IF(G237="Validation",Settings!$B$9,Settings!$B$8),IF(C237="Drinking",IF(G237="Validation",Settings!$B$11,Settings!$B$10),0)))</f>
        <v/>
      </c>
      <c r="J237" s="54">
        <f>IF(OR(B237&lt;&gt;"Expected",D237&lt;&gt;"Violation",H237=""),"",H237+I237+Settings!$B$5)</f>
        <v/>
      </c>
      <c r="K237" s="43" t="n"/>
      <c r="L237" s="51" t="n"/>
      <c r="M237" s="43" t="n"/>
      <c r="N237" s="54">
        <f>IF(AND(B237="Expected",D237="Violation",K237&lt;&gt;"",ISNUMBER(L237),ISNUMBER(H237)),L237-H237-I237,"")</f>
        <v/>
      </c>
      <c r="O237" s="43" t="n"/>
      <c r="P237" s="47" t="n"/>
      <c r="Q237" s="55">
        <f>IF(A237="","",IF(B237="Expected",IF(D237="Violation",IF(H237="","Needs start",IF(AND(K237&lt;&gt;"",OR(M237&lt;&gt;"Monitoring",Settings!$B$7="Yes"),ISNUMBER(L237),L237&lt;=J237),"TP","FN")),IF(AND(K237&lt;&gt;"",OR(M237&lt;&gt;"Monitoring",Settings!$B$7="Yes")),"FP","TN")),IF(P237="","Needs tag",IF(OR(P237="False alarm",P237="Unscripted – false alarm"),"FP",IF(P237="Duplicate","Duplicate",IF(P237="Late (real act)","Late","Excluded"))))))</f>
        <v/>
      </c>
      <c r="R237" s="47" t="n"/>
      <c r="S237" s="43" t="n"/>
      <c r="T237" s="43" t="n"/>
      <c r="U237" s="43" t="n"/>
      <c r="V237" s="47" t="n"/>
      <c r="W237" s="47" t="n"/>
      <c r="X237" s="52" t="n"/>
      <c r="Y237" s="43" t="n"/>
      <c r="Z237" s="55">
        <f>IF(OR(Y237="",Q237=""),"",IF(Y237=Q237,"OK","MISMATCH"))</f>
        <v/>
      </c>
      <c r="AA237" s="43" t="n"/>
    </row>
    <row r="238" ht="15" customHeight="1" s="35">
      <c r="A238" s="43" t="n"/>
      <c r="B238" s="47" t="n"/>
      <c r="C238" s="47" t="n"/>
      <c r="D238" s="47" t="n"/>
      <c r="E238" s="43" t="n"/>
      <c r="F238" s="52" t="n"/>
      <c r="G238" s="43" t="n"/>
      <c r="H238" s="51" t="n"/>
      <c r="I238" s="53">
        <f>IF(B238&lt;&gt;"Expected","",IF(C238="Parking Obstruction",IF(G238="Validation",Settings!$B$9,Settings!$B$8),IF(C238="Drinking",IF(G238="Validation",Settings!$B$11,Settings!$B$10),0)))</f>
        <v/>
      </c>
      <c r="J238" s="54">
        <f>IF(OR(B238&lt;&gt;"Expected",D238&lt;&gt;"Violation",H238=""),"",H238+I238+Settings!$B$5)</f>
        <v/>
      </c>
      <c r="K238" s="43" t="n"/>
      <c r="L238" s="51" t="n"/>
      <c r="M238" s="43" t="n"/>
      <c r="N238" s="54">
        <f>IF(AND(B238="Expected",D238="Violation",K238&lt;&gt;"",ISNUMBER(L238),ISNUMBER(H238)),L238-H238-I238,"")</f>
        <v/>
      </c>
      <c r="O238" s="43" t="n"/>
      <c r="P238" s="47" t="n"/>
      <c r="Q238" s="55">
        <f>IF(A238="","",IF(B238="Expected",IF(D238="Violation",IF(H238="","Needs start",IF(AND(K238&lt;&gt;"",OR(M238&lt;&gt;"Monitoring",Settings!$B$7="Yes"),ISNUMBER(L238),L238&lt;=J238),"TP","FN")),IF(AND(K238&lt;&gt;"",OR(M238&lt;&gt;"Monitoring",Settings!$B$7="Yes")),"FP","TN")),IF(P238="","Needs tag",IF(OR(P238="False alarm",P238="Unscripted – false alarm"),"FP",IF(P238="Duplicate","Duplicate",IF(P238="Late (real act)","Late","Excluded"))))))</f>
        <v/>
      </c>
      <c r="R238" s="47" t="n"/>
      <c r="S238" s="43" t="n"/>
      <c r="T238" s="43" t="n"/>
      <c r="U238" s="43" t="n"/>
      <c r="V238" s="47" t="n"/>
      <c r="W238" s="47" t="n"/>
      <c r="X238" s="52" t="n"/>
      <c r="Y238" s="43" t="n"/>
      <c r="Z238" s="55">
        <f>IF(OR(Y238="",Q238=""),"",IF(Y238=Q238,"OK","MISMATCH"))</f>
        <v/>
      </c>
      <c r="AA238" s="43" t="n"/>
    </row>
    <row r="239" ht="15" customHeight="1" s="35">
      <c r="A239" s="43" t="n"/>
      <c r="B239" s="47" t="n"/>
      <c r="C239" s="47" t="n"/>
      <c r="D239" s="47" t="n"/>
      <c r="E239" s="43" t="n"/>
      <c r="F239" s="52" t="n"/>
      <c r="G239" s="43" t="n"/>
      <c r="H239" s="51" t="n"/>
      <c r="I239" s="53">
        <f>IF(B239&lt;&gt;"Expected","",IF(C239="Parking Obstruction",IF(G239="Validation",Settings!$B$9,Settings!$B$8),IF(C239="Drinking",IF(G239="Validation",Settings!$B$11,Settings!$B$10),0)))</f>
        <v/>
      </c>
      <c r="J239" s="54">
        <f>IF(OR(B239&lt;&gt;"Expected",D239&lt;&gt;"Violation",H239=""),"",H239+I239+Settings!$B$5)</f>
        <v/>
      </c>
      <c r="K239" s="43" t="n"/>
      <c r="L239" s="51" t="n"/>
      <c r="M239" s="43" t="n"/>
      <c r="N239" s="54">
        <f>IF(AND(B239="Expected",D239="Violation",K239&lt;&gt;"",ISNUMBER(L239),ISNUMBER(H239)),L239-H239-I239,"")</f>
        <v/>
      </c>
      <c r="O239" s="43" t="n"/>
      <c r="P239" s="47" t="n"/>
      <c r="Q239" s="55">
        <f>IF(A239="","",IF(B239="Expected",IF(D239="Violation",IF(H239="","Needs start",IF(AND(K239&lt;&gt;"",OR(M239&lt;&gt;"Monitoring",Settings!$B$7="Yes"),ISNUMBER(L239),L239&lt;=J239),"TP","FN")),IF(AND(K239&lt;&gt;"",OR(M239&lt;&gt;"Monitoring",Settings!$B$7="Yes")),"FP","TN")),IF(P239="","Needs tag",IF(OR(P239="False alarm",P239="Unscripted – false alarm"),"FP",IF(P239="Duplicate","Duplicate",IF(P239="Late (real act)","Late","Excluded"))))))</f>
        <v/>
      </c>
      <c r="R239" s="47" t="n"/>
      <c r="S239" s="43" t="n"/>
      <c r="T239" s="43" t="n"/>
      <c r="U239" s="43" t="n"/>
      <c r="V239" s="47" t="n"/>
      <c r="W239" s="47" t="n"/>
      <c r="X239" s="52" t="n"/>
      <c r="Y239" s="43" t="n"/>
      <c r="Z239" s="55">
        <f>IF(OR(Y239="",Q239=""),"",IF(Y239=Q239,"OK","MISMATCH"))</f>
        <v/>
      </c>
      <c r="AA239" s="43" t="n"/>
    </row>
    <row r="240" ht="15" customHeight="1" s="35">
      <c r="A240" s="43" t="n"/>
      <c r="B240" s="47" t="n"/>
      <c r="C240" s="47" t="n"/>
      <c r="D240" s="47" t="n"/>
      <c r="E240" s="43" t="n"/>
      <c r="F240" s="52" t="n"/>
      <c r="G240" s="43" t="n"/>
      <c r="H240" s="51" t="n"/>
      <c r="I240" s="53">
        <f>IF(B240&lt;&gt;"Expected","",IF(C240="Parking Obstruction",IF(G240="Validation",Settings!$B$9,Settings!$B$8),IF(C240="Drinking",IF(G240="Validation",Settings!$B$11,Settings!$B$10),0)))</f>
        <v/>
      </c>
      <c r="J240" s="54">
        <f>IF(OR(B240&lt;&gt;"Expected",D240&lt;&gt;"Violation",H240=""),"",H240+I240+Settings!$B$5)</f>
        <v/>
      </c>
      <c r="K240" s="43" t="n"/>
      <c r="L240" s="51" t="n"/>
      <c r="M240" s="43" t="n"/>
      <c r="N240" s="54">
        <f>IF(AND(B240="Expected",D240="Violation",K240&lt;&gt;"",ISNUMBER(L240),ISNUMBER(H240)),L240-H240-I240,"")</f>
        <v/>
      </c>
      <c r="O240" s="43" t="n"/>
      <c r="P240" s="47" t="n"/>
      <c r="Q240" s="55">
        <f>IF(A240="","",IF(B240="Expected",IF(D240="Violation",IF(H240="","Needs start",IF(AND(K240&lt;&gt;"",OR(M240&lt;&gt;"Monitoring",Settings!$B$7="Yes"),ISNUMBER(L240),L240&lt;=J240),"TP","FN")),IF(AND(K240&lt;&gt;"",OR(M240&lt;&gt;"Monitoring",Settings!$B$7="Yes")),"FP","TN")),IF(P240="","Needs tag",IF(OR(P240="False alarm",P240="Unscripted – false alarm"),"FP",IF(P240="Duplicate","Duplicate",IF(P240="Late (real act)","Late","Excluded"))))))</f>
        <v/>
      </c>
      <c r="R240" s="47" t="n"/>
      <c r="S240" s="43" t="n"/>
      <c r="T240" s="43" t="n"/>
      <c r="U240" s="43" t="n"/>
      <c r="V240" s="47" t="n"/>
      <c r="W240" s="47" t="n"/>
      <c r="X240" s="52" t="n"/>
      <c r="Y240" s="43" t="n"/>
      <c r="Z240" s="55">
        <f>IF(OR(Y240="",Q240=""),"",IF(Y240=Q240,"OK","MISMATCH"))</f>
        <v/>
      </c>
      <c r="AA240" s="43" t="n"/>
    </row>
    <row r="241" ht="15" customHeight="1" s="35">
      <c r="A241" s="43" t="n"/>
      <c r="B241" s="47" t="n"/>
      <c r="C241" s="47" t="n"/>
      <c r="D241" s="47" t="n"/>
      <c r="E241" s="43" t="n"/>
      <c r="F241" s="52" t="n"/>
      <c r="G241" s="43" t="n"/>
      <c r="H241" s="51" t="n"/>
      <c r="I241" s="53">
        <f>IF(B241&lt;&gt;"Expected","",IF(C241="Parking Obstruction",IF(G241="Validation",Settings!$B$9,Settings!$B$8),IF(C241="Drinking",IF(G241="Validation",Settings!$B$11,Settings!$B$10),0)))</f>
        <v/>
      </c>
      <c r="J241" s="54">
        <f>IF(OR(B241&lt;&gt;"Expected",D241&lt;&gt;"Violation",H241=""),"",H241+I241+Settings!$B$5)</f>
        <v/>
      </c>
      <c r="K241" s="43" t="n"/>
      <c r="L241" s="51" t="n"/>
      <c r="M241" s="43" t="n"/>
      <c r="N241" s="54">
        <f>IF(AND(B241="Expected",D241="Violation",K241&lt;&gt;"",ISNUMBER(L241),ISNUMBER(H241)),L241-H241-I241,"")</f>
        <v/>
      </c>
      <c r="O241" s="43" t="n"/>
      <c r="P241" s="47" t="n"/>
      <c r="Q241" s="55">
        <f>IF(A241="","",IF(B241="Expected",IF(D241="Violation",IF(H241="","Needs start",IF(AND(K241&lt;&gt;"",OR(M241&lt;&gt;"Monitoring",Settings!$B$7="Yes"),ISNUMBER(L241),L241&lt;=J241),"TP","FN")),IF(AND(K241&lt;&gt;"",OR(M241&lt;&gt;"Monitoring",Settings!$B$7="Yes")),"FP","TN")),IF(P241="","Needs tag",IF(OR(P241="False alarm",P241="Unscripted – false alarm"),"FP",IF(P241="Duplicate","Duplicate",IF(P241="Late (real act)","Late","Excluded"))))))</f>
        <v/>
      </c>
      <c r="R241" s="47" t="n"/>
      <c r="S241" s="43" t="n"/>
      <c r="T241" s="43" t="n"/>
      <c r="U241" s="43" t="n"/>
      <c r="V241" s="47" t="n"/>
      <c r="W241" s="47" t="n"/>
      <c r="X241" s="52" t="n"/>
      <c r="Y241" s="43" t="n"/>
      <c r="Z241" s="55">
        <f>IF(OR(Y241="",Q241=""),"",IF(Y241=Q241,"OK","MISMATCH"))</f>
        <v/>
      </c>
      <c r="AA241" s="43" t="n"/>
    </row>
    <row r="242" ht="15" customHeight="1" s="35">
      <c r="A242" s="43" t="n"/>
      <c r="B242" s="47" t="n"/>
      <c r="C242" s="47" t="n"/>
      <c r="D242" s="47" t="n"/>
      <c r="E242" s="43" t="n"/>
      <c r="F242" s="52" t="n"/>
      <c r="G242" s="43" t="n"/>
      <c r="H242" s="51" t="n"/>
      <c r="I242" s="53">
        <f>IF(B242&lt;&gt;"Expected","",IF(C242="Parking Obstruction",IF(G242="Validation",Settings!$B$9,Settings!$B$8),IF(C242="Drinking",IF(G242="Validation",Settings!$B$11,Settings!$B$10),0)))</f>
        <v/>
      </c>
      <c r="J242" s="54">
        <f>IF(OR(B242&lt;&gt;"Expected",D242&lt;&gt;"Violation",H242=""),"",H242+I242+Settings!$B$5)</f>
        <v/>
      </c>
      <c r="K242" s="43" t="n"/>
      <c r="L242" s="51" t="n"/>
      <c r="M242" s="43" t="n"/>
      <c r="N242" s="54">
        <f>IF(AND(B242="Expected",D242="Violation",K242&lt;&gt;"",ISNUMBER(L242),ISNUMBER(H242)),L242-H242-I242,"")</f>
        <v/>
      </c>
      <c r="O242" s="43" t="n"/>
      <c r="P242" s="47" t="n"/>
      <c r="Q242" s="55">
        <f>IF(A242="","",IF(B242="Expected",IF(D242="Violation",IF(H242="","Needs start",IF(AND(K242&lt;&gt;"",OR(M242&lt;&gt;"Monitoring",Settings!$B$7="Yes"),ISNUMBER(L242),L242&lt;=J242),"TP","FN")),IF(AND(K242&lt;&gt;"",OR(M242&lt;&gt;"Monitoring",Settings!$B$7="Yes")),"FP","TN")),IF(P242="","Needs tag",IF(OR(P242="False alarm",P242="Unscripted – false alarm"),"FP",IF(P242="Duplicate","Duplicate",IF(P242="Late (real act)","Late","Excluded"))))))</f>
        <v/>
      </c>
      <c r="R242" s="47" t="n"/>
      <c r="S242" s="43" t="n"/>
      <c r="T242" s="43" t="n"/>
      <c r="U242" s="43" t="n"/>
      <c r="V242" s="47" t="n"/>
      <c r="W242" s="47" t="n"/>
      <c r="X242" s="52" t="n"/>
      <c r="Y242" s="43" t="n"/>
      <c r="Z242" s="55">
        <f>IF(OR(Y242="",Q242=""),"",IF(Y242=Q242,"OK","MISMATCH"))</f>
        <v/>
      </c>
      <c r="AA242" s="43" t="n"/>
    </row>
    <row r="243" ht="15" customHeight="1" s="35">
      <c r="A243" s="43" t="n"/>
      <c r="B243" s="47" t="n"/>
      <c r="C243" s="47" t="n"/>
      <c r="D243" s="47" t="n"/>
      <c r="E243" s="43" t="n"/>
      <c r="F243" s="52" t="n"/>
      <c r="G243" s="43" t="n"/>
      <c r="H243" s="51" t="n"/>
      <c r="I243" s="53">
        <f>IF(B243&lt;&gt;"Expected","",IF(C243="Parking Obstruction",IF(G243="Validation",Settings!$B$9,Settings!$B$8),IF(C243="Drinking",IF(G243="Validation",Settings!$B$11,Settings!$B$10),0)))</f>
        <v/>
      </c>
      <c r="J243" s="54">
        <f>IF(OR(B243&lt;&gt;"Expected",D243&lt;&gt;"Violation",H243=""),"",H243+I243+Settings!$B$5)</f>
        <v/>
      </c>
      <c r="K243" s="43" t="n"/>
      <c r="L243" s="51" t="n"/>
      <c r="M243" s="43" t="n"/>
      <c r="N243" s="54">
        <f>IF(AND(B243="Expected",D243="Violation",K243&lt;&gt;"",ISNUMBER(L243),ISNUMBER(H243)),L243-H243-I243,"")</f>
        <v/>
      </c>
      <c r="O243" s="43" t="n"/>
      <c r="P243" s="47" t="n"/>
      <c r="Q243" s="55">
        <f>IF(A243="","",IF(B243="Expected",IF(D243="Violation",IF(H243="","Needs start",IF(AND(K243&lt;&gt;"",OR(M243&lt;&gt;"Monitoring",Settings!$B$7="Yes"),ISNUMBER(L243),L243&lt;=J243),"TP","FN")),IF(AND(K243&lt;&gt;"",OR(M243&lt;&gt;"Monitoring",Settings!$B$7="Yes")),"FP","TN")),IF(P243="","Needs tag",IF(OR(P243="False alarm",P243="Unscripted – false alarm"),"FP",IF(P243="Duplicate","Duplicate",IF(P243="Late (real act)","Late","Excluded"))))))</f>
        <v/>
      </c>
      <c r="R243" s="47" t="n"/>
      <c r="S243" s="43" t="n"/>
      <c r="T243" s="43" t="n"/>
      <c r="U243" s="43" t="n"/>
      <c r="V243" s="47" t="n"/>
      <c r="W243" s="47" t="n"/>
      <c r="X243" s="52" t="n"/>
      <c r="Y243" s="43" t="n"/>
      <c r="Z243" s="55">
        <f>IF(OR(Y243="",Q243=""),"",IF(Y243=Q243,"OK","MISMATCH"))</f>
        <v/>
      </c>
      <c r="AA243" s="43" t="n"/>
    </row>
    <row r="244" ht="15" customHeight="1" s="35">
      <c r="A244" s="43" t="n"/>
      <c r="B244" s="47" t="n"/>
      <c r="C244" s="47" t="n"/>
      <c r="D244" s="47" t="n"/>
      <c r="E244" s="43" t="n"/>
      <c r="F244" s="52" t="n"/>
      <c r="G244" s="43" t="n"/>
      <c r="H244" s="51" t="n"/>
      <c r="I244" s="53">
        <f>IF(B244&lt;&gt;"Expected","",IF(C244="Parking Obstruction",IF(G244="Validation",Settings!$B$9,Settings!$B$8),IF(C244="Drinking",IF(G244="Validation",Settings!$B$11,Settings!$B$10),0)))</f>
        <v/>
      </c>
      <c r="J244" s="54">
        <f>IF(OR(B244&lt;&gt;"Expected",D244&lt;&gt;"Violation",H244=""),"",H244+I244+Settings!$B$5)</f>
        <v/>
      </c>
      <c r="K244" s="43" t="n"/>
      <c r="L244" s="51" t="n"/>
      <c r="M244" s="43" t="n"/>
      <c r="N244" s="54">
        <f>IF(AND(B244="Expected",D244="Violation",K244&lt;&gt;"",ISNUMBER(L244),ISNUMBER(H244)),L244-H244-I244,"")</f>
        <v/>
      </c>
      <c r="O244" s="43" t="n"/>
      <c r="P244" s="47" t="n"/>
      <c r="Q244" s="55">
        <f>IF(A244="","",IF(B244="Expected",IF(D244="Violation",IF(H244="","Needs start",IF(AND(K244&lt;&gt;"",OR(M244&lt;&gt;"Monitoring",Settings!$B$7="Yes"),ISNUMBER(L244),L244&lt;=J244),"TP","FN")),IF(AND(K244&lt;&gt;"",OR(M244&lt;&gt;"Monitoring",Settings!$B$7="Yes")),"FP","TN")),IF(P244="","Needs tag",IF(OR(P244="False alarm",P244="Unscripted – false alarm"),"FP",IF(P244="Duplicate","Duplicate",IF(P244="Late (real act)","Late","Excluded"))))))</f>
        <v/>
      </c>
      <c r="R244" s="47" t="n"/>
      <c r="S244" s="43" t="n"/>
      <c r="T244" s="43" t="n"/>
      <c r="U244" s="43" t="n"/>
      <c r="V244" s="47" t="n"/>
      <c r="W244" s="47" t="n"/>
      <c r="X244" s="52" t="n"/>
      <c r="Y244" s="43" t="n"/>
      <c r="Z244" s="55">
        <f>IF(OR(Y244="",Q244=""),"",IF(Y244=Q244,"OK","MISMATCH"))</f>
        <v/>
      </c>
      <c r="AA244" s="43" t="n"/>
    </row>
    <row r="245" ht="15" customHeight="1" s="35">
      <c r="A245" s="43" t="n"/>
      <c r="B245" s="47" t="n"/>
      <c r="C245" s="47" t="n"/>
      <c r="D245" s="47" t="n"/>
      <c r="E245" s="43" t="n"/>
      <c r="F245" s="52" t="n"/>
      <c r="G245" s="43" t="n"/>
      <c r="H245" s="51" t="n"/>
      <c r="I245" s="53">
        <f>IF(B245&lt;&gt;"Expected","",IF(C245="Parking Obstruction",IF(G245="Validation",Settings!$B$9,Settings!$B$8),IF(C245="Drinking",IF(G245="Validation",Settings!$B$11,Settings!$B$10),0)))</f>
        <v/>
      </c>
      <c r="J245" s="54">
        <f>IF(OR(B245&lt;&gt;"Expected",D245&lt;&gt;"Violation",H245=""),"",H245+I245+Settings!$B$5)</f>
        <v/>
      </c>
      <c r="K245" s="43" t="n"/>
      <c r="L245" s="51" t="n"/>
      <c r="M245" s="43" t="n"/>
      <c r="N245" s="54">
        <f>IF(AND(B245="Expected",D245="Violation",K245&lt;&gt;"",ISNUMBER(L245),ISNUMBER(H245)),L245-H245-I245,"")</f>
        <v/>
      </c>
      <c r="O245" s="43" t="n"/>
      <c r="P245" s="47" t="n"/>
      <c r="Q245" s="55">
        <f>IF(A245="","",IF(B245="Expected",IF(D245="Violation",IF(H245="","Needs start",IF(AND(K245&lt;&gt;"",OR(M245&lt;&gt;"Monitoring",Settings!$B$7="Yes"),ISNUMBER(L245),L245&lt;=J245),"TP","FN")),IF(AND(K245&lt;&gt;"",OR(M245&lt;&gt;"Monitoring",Settings!$B$7="Yes")),"FP","TN")),IF(P245="","Needs tag",IF(OR(P245="False alarm",P245="Unscripted – false alarm"),"FP",IF(P245="Duplicate","Duplicate",IF(P245="Late (real act)","Late","Excluded"))))))</f>
        <v/>
      </c>
      <c r="R245" s="47" t="n"/>
      <c r="S245" s="43" t="n"/>
      <c r="T245" s="43" t="n"/>
      <c r="U245" s="43" t="n"/>
      <c r="V245" s="47" t="n"/>
      <c r="W245" s="47" t="n"/>
      <c r="X245" s="52" t="n"/>
      <c r="Y245" s="43" t="n"/>
      <c r="Z245" s="55">
        <f>IF(OR(Y245="",Q245=""),"",IF(Y245=Q245,"OK","MISMATCH"))</f>
        <v/>
      </c>
      <c r="AA245" s="43" t="n"/>
    </row>
    <row r="246" ht="15" customHeight="1" s="35">
      <c r="A246" s="43" t="n"/>
      <c r="B246" s="47" t="n"/>
      <c r="C246" s="47" t="n"/>
      <c r="D246" s="47" t="n"/>
      <c r="E246" s="43" t="n"/>
      <c r="F246" s="52" t="n"/>
      <c r="G246" s="43" t="n"/>
      <c r="H246" s="51" t="n"/>
      <c r="I246" s="53">
        <f>IF(B246&lt;&gt;"Expected","",IF(C246="Parking Obstruction",IF(G246="Validation",Settings!$B$9,Settings!$B$8),IF(C246="Drinking",IF(G246="Validation",Settings!$B$11,Settings!$B$10),0)))</f>
        <v/>
      </c>
      <c r="J246" s="54">
        <f>IF(OR(B246&lt;&gt;"Expected",D246&lt;&gt;"Violation",H246=""),"",H246+I246+Settings!$B$5)</f>
        <v/>
      </c>
      <c r="K246" s="43" t="n"/>
      <c r="L246" s="51" t="n"/>
      <c r="M246" s="43" t="n"/>
      <c r="N246" s="54">
        <f>IF(AND(B246="Expected",D246="Violation",K246&lt;&gt;"",ISNUMBER(L246),ISNUMBER(H246)),L246-H246-I246,"")</f>
        <v/>
      </c>
      <c r="O246" s="43" t="n"/>
      <c r="P246" s="47" t="n"/>
      <c r="Q246" s="55">
        <f>IF(A246="","",IF(B246="Expected",IF(D246="Violation",IF(H246="","Needs start",IF(AND(K246&lt;&gt;"",OR(M246&lt;&gt;"Monitoring",Settings!$B$7="Yes"),ISNUMBER(L246),L246&lt;=J246),"TP","FN")),IF(AND(K246&lt;&gt;"",OR(M246&lt;&gt;"Monitoring",Settings!$B$7="Yes")),"FP","TN")),IF(P246="","Needs tag",IF(OR(P246="False alarm",P246="Unscripted – false alarm"),"FP",IF(P246="Duplicate","Duplicate",IF(P246="Late (real act)","Late","Excluded"))))))</f>
        <v/>
      </c>
      <c r="R246" s="47" t="n"/>
      <c r="S246" s="43" t="n"/>
      <c r="T246" s="43" t="n"/>
      <c r="U246" s="43" t="n"/>
      <c r="V246" s="47" t="n"/>
      <c r="W246" s="47" t="n"/>
      <c r="X246" s="52" t="n"/>
      <c r="Y246" s="43" t="n"/>
      <c r="Z246" s="55">
        <f>IF(OR(Y246="",Q246=""),"",IF(Y246=Q246,"OK","MISMATCH"))</f>
        <v/>
      </c>
      <c r="AA246" s="43" t="n"/>
    </row>
    <row r="247" ht="15" customHeight="1" s="35">
      <c r="A247" s="43" t="n"/>
      <c r="B247" s="47" t="n"/>
      <c r="C247" s="47" t="n"/>
      <c r="D247" s="47" t="n"/>
      <c r="E247" s="43" t="n"/>
      <c r="F247" s="52" t="n"/>
      <c r="G247" s="43" t="n"/>
      <c r="H247" s="51" t="n"/>
      <c r="I247" s="53">
        <f>IF(B247&lt;&gt;"Expected","",IF(C247="Parking Obstruction",IF(G247="Validation",Settings!$B$9,Settings!$B$8),IF(C247="Drinking",IF(G247="Validation",Settings!$B$11,Settings!$B$10),0)))</f>
        <v/>
      </c>
      <c r="J247" s="54">
        <f>IF(OR(B247&lt;&gt;"Expected",D247&lt;&gt;"Violation",H247=""),"",H247+I247+Settings!$B$5)</f>
        <v/>
      </c>
      <c r="K247" s="43" t="n"/>
      <c r="L247" s="51" t="n"/>
      <c r="M247" s="43" t="n"/>
      <c r="N247" s="54">
        <f>IF(AND(B247="Expected",D247="Violation",K247&lt;&gt;"",ISNUMBER(L247),ISNUMBER(H247)),L247-H247-I247,"")</f>
        <v/>
      </c>
      <c r="O247" s="43" t="n"/>
      <c r="P247" s="47" t="n"/>
      <c r="Q247" s="55">
        <f>IF(A247="","",IF(B247="Expected",IF(D247="Violation",IF(H247="","Needs start",IF(AND(K247&lt;&gt;"",OR(M247&lt;&gt;"Monitoring",Settings!$B$7="Yes"),ISNUMBER(L247),L247&lt;=J247),"TP","FN")),IF(AND(K247&lt;&gt;"",OR(M247&lt;&gt;"Monitoring",Settings!$B$7="Yes")),"FP","TN")),IF(P247="","Needs tag",IF(OR(P247="False alarm",P247="Unscripted – false alarm"),"FP",IF(P247="Duplicate","Duplicate",IF(P247="Late (real act)","Late","Excluded"))))))</f>
        <v/>
      </c>
      <c r="R247" s="47" t="n"/>
      <c r="S247" s="43" t="n"/>
      <c r="T247" s="43" t="n"/>
      <c r="U247" s="43" t="n"/>
      <c r="V247" s="47" t="n"/>
      <c r="W247" s="47" t="n"/>
      <c r="X247" s="52" t="n"/>
      <c r="Y247" s="43" t="n"/>
      <c r="Z247" s="55">
        <f>IF(OR(Y247="",Q247=""),"",IF(Y247=Q247,"OK","MISMATCH"))</f>
        <v/>
      </c>
      <c r="AA247" s="43" t="n"/>
    </row>
    <row r="248" ht="15" customHeight="1" s="35">
      <c r="A248" s="43" t="n"/>
      <c r="B248" s="47" t="n"/>
      <c r="C248" s="47" t="n"/>
      <c r="D248" s="47" t="n"/>
      <c r="E248" s="43" t="n"/>
      <c r="F248" s="52" t="n"/>
      <c r="G248" s="43" t="n"/>
      <c r="H248" s="51" t="n"/>
      <c r="I248" s="53">
        <f>IF(B248&lt;&gt;"Expected","",IF(C248="Parking Obstruction",IF(G248="Validation",Settings!$B$9,Settings!$B$8),IF(C248="Drinking",IF(G248="Validation",Settings!$B$11,Settings!$B$10),0)))</f>
        <v/>
      </c>
      <c r="J248" s="54">
        <f>IF(OR(B248&lt;&gt;"Expected",D248&lt;&gt;"Violation",H248=""),"",H248+I248+Settings!$B$5)</f>
        <v/>
      </c>
      <c r="K248" s="43" t="n"/>
      <c r="L248" s="51" t="n"/>
      <c r="M248" s="43" t="n"/>
      <c r="N248" s="54">
        <f>IF(AND(B248="Expected",D248="Violation",K248&lt;&gt;"",ISNUMBER(L248),ISNUMBER(H248)),L248-H248-I248,"")</f>
        <v/>
      </c>
      <c r="O248" s="43" t="n"/>
      <c r="P248" s="47" t="n"/>
      <c r="Q248" s="55">
        <f>IF(A248="","",IF(B248="Expected",IF(D248="Violation",IF(H248="","Needs start",IF(AND(K248&lt;&gt;"",OR(M248&lt;&gt;"Monitoring",Settings!$B$7="Yes"),ISNUMBER(L248),L248&lt;=J248),"TP","FN")),IF(AND(K248&lt;&gt;"",OR(M248&lt;&gt;"Monitoring",Settings!$B$7="Yes")),"FP","TN")),IF(P248="","Needs tag",IF(OR(P248="False alarm",P248="Unscripted – false alarm"),"FP",IF(P248="Duplicate","Duplicate",IF(P248="Late (real act)","Late","Excluded"))))))</f>
        <v/>
      </c>
      <c r="R248" s="47" t="n"/>
      <c r="S248" s="43" t="n"/>
      <c r="T248" s="43" t="n"/>
      <c r="U248" s="43" t="n"/>
      <c r="V248" s="47" t="n"/>
      <c r="W248" s="47" t="n"/>
      <c r="X248" s="52" t="n"/>
      <c r="Y248" s="43" t="n"/>
      <c r="Z248" s="55">
        <f>IF(OR(Y248="",Q248=""),"",IF(Y248=Q248,"OK","MISMATCH"))</f>
        <v/>
      </c>
      <c r="AA248" s="43" t="n"/>
    </row>
    <row r="249" ht="15" customHeight="1" s="35">
      <c r="A249" s="43" t="n"/>
      <c r="B249" s="47" t="n"/>
      <c r="C249" s="47" t="n"/>
      <c r="D249" s="47" t="n"/>
      <c r="E249" s="43" t="n"/>
      <c r="F249" s="52" t="n"/>
      <c r="G249" s="43" t="n"/>
      <c r="H249" s="51" t="n"/>
      <c r="I249" s="53">
        <f>IF(B249&lt;&gt;"Expected","",IF(C249="Parking Obstruction",IF(G249="Validation",Settings!$B$9,Settings!$B$8),IF(C249="Drinking",IF(G249="Validation",Settings!$B$11,Settings!$B$10),0)))</f>
        <v/>
      </c>
      <c r="J249" s="54">
        <f>IF(OR(B249&lt;&gt;"Expected",D249&lt;&gt;"Violation",H249=""),"",H249+I249+Settings!$B$5)</f>
        <v/>
      </c>
      <c r="K249" s="43" t="n"/>
      <c r="L249" s="51" t="n"/>
      <c r="M249" s="43" t="n"/>
      <c r="N249" s="54">
        <f>IF(AND(B249="Expected",D249="Violation",K249&lt;&gt;"",ISNUMBER(L249),ISNUMBER(H249)),L249-H249-I249,"")</f>
        <v/>
      </c>
      <c r="O249" s="43" t="n"/>
      <c r="P249" s="47" t="n"/>
      <c r="Q249" s="55">
        <f>IF(A249="","",IF(B249="Expected",IF(D249="Violation",IF(H249="","Needs start",IF(AND(K249&lt;&gt;"",OR(M249&lt;&gt;"Monitoring",Settings!$B$7="Yes"),ISNUMBER(L249),L249&lt;=J249),"TP","FN")),IF(AND(K249&lt;&gt;"",OR(M249&lt;&gt;"Monitoring",Settings!$B$7="Yes")),"FP","TN")),IF(P249="","Needs tag",IF(OR(P249="False alarm",P249="Unscripted – false alarm"),"FP",IF(P249="Duplicate","Duplicate",IF(P249="Late (real act)","Late","Excluded"))))))</f>
        <v/>
      </c>
      <c r="R249" s="47" t="n"/>
      <c r="S249" s="43" t="n"/>
      <c r="T249" s="43" t="n"/>
      <c r="U249" s="43" t="n"/>
      <c r="V249" s="47" t="n"/>
      <c r="W249" s="47" t="n"/>
      <c r="X249" s="52" t="n"/>
      <c r="Y249" s="43" t="n"/>
      <c r="Z249" s="55">
        <f>IF(OR(Y249="",Q249=""),"",IF(Y249=Q249,"OK","MISMATCH"))</f>
        <v/>
      </c>
      <c r="AA249" s="43" t="n"/>
    </row>
    <row r="250" ht="15" customHeight="1" s="35">
      <c r="A250" s="43" t="n"/>
      <c r="B250" s="47" t="n"/>
      <c r="C250" s="47" t="n"/>
      <c r="D250" s="47" t="n"/>
      <c r="E250" s="43" t="n"/>
      <c r="F250" s="52" t="n"/>
      <c r="G250" s="43" t="n"/>
      <c r="H250" s="51" t="n"/>
      <c r="I250" s="53">
        <f>IF(B250&lt;&gt;"Expected","",IF(C250="Parking Obstruction",IF(G250="Validation",Settings!$B$9,Settings!$B$8),IF(C250="Drinking",IF(G250="Validation",Settings!$B$11,Settings!$B$10),0)))</f>
        <v/>
      </c>
      <c r="J250" s="54">
        <f>IF(OR(B250&lt;&gt;"Expected",D250&lt;&gt;"Violation",H250=""),"",H250+I250+Settings!$B$5)</f>
        <v/>
      </c>
      <c r="K250" s="43" t="n"/>
      <c r="L250" s="51" t="n"/>
      <c r="M250" s="43" t="n"/>
      <c r="N250" s="54">
        <f>IF(AND(B250="Expected",D250="Violation",K250&lt;&gt;"",ISNUMBER(L250),ISNUMBER(H250)),L250-H250-I250,"")</f>
        <v/>
      </c>
      <c r="O250" s="43" t="n"/>
      <c r="P250" s="47" t="n"/>
      <c r="Q250" s="55">
        <f>IF(A250="","",IF(B250="Expected",IF(D250="Violation",IF(H250="","Needs start",IF(AND(K250&lt;&gt;"",OR(M250&lt;&gt;"Monitoring",Settings!$B$7="Yes"),ISNUMBER(L250),L250&lt;=J250),"TP","FN")),IF(AND(K250&lt;&gt;"",OR(M250&lt;&gt;"Monitoring",Settings!$B$7="Yes")),"FP","TN")),IF(P250="","Needs tag",IF(OR(P250="False alarm",P250="Unscripted – false alarm"),"FP",IF(P250="Duplicate","Duplicate",IF(P250="Late (real act)","Late","Excluded"))))))</f>
        <v/>
      </c>
      <c r="R250" s="47" t="n"/>
      <c r="S250" s="43" t="n"/>
      <c r="T250" s="43" t="n"/>
      <c r="U250" s="43" t="n"/>
      <c r="V250" s="47" t="n"/>
      <c r="W250" s="47" t="n"/>
      <c r="X250" s="52" t="n"/>
      <c r="Y250" s="43" t="n"/>
      <c r="Z250" s="55">
        <f>IF(OR(Y250="",Q250=""),"",IF(Y250=Q250,"OK","MISMATCH"))</f>
        <v/>
      </c>
      <c r="AA250" s="43" t="n"/>
    </row>
    <row r="251" ht="15" customHeight="1" s="35">
      <c r="A251" s="43" t="n"/>
      <c r="B251" s="47" t="n"/>
      <c r="C251" s="47" t="n"/>
      <c r="D251" s="47" t="n"/>
      <c r="E251" s="43" t="n"/>
      <c r="F251" s="52" t="n"/>
      <c r="G251" s="43" t="n"/>
      <c r="H251" s="51" t="n"/>
      <c r="I251" s="53">
        <f>IF(B251&lt;&gt;"Expected","",IF(C251="Parking Obstruction",IF(G251="Validation",Settings!$B$9,Settings!$B$8),IF(C251="Drinking",IF(G251="Validation",Settings!$B$11,Settings!$B$10),0)))</f>
        <v/>
      </c>
      <c r="J251" s="54">
        <f>IF(OR(B251&lt;&gt;"Expected",D251&lt;&gt;"Violation",H251=""),"",H251+I251+Settings!$B$5)</f>
        <v/>
      </c>
      <c r="K251" s="43" t="n"/>
      <c r="L251" s="51" t="n"/>
      <c r="M251" s="43" t="n"/>
      <c r="N251" s="54">
        <f>IF(AND(B251="Expected",D251="Violation",K251&lt;&gt;"",ISNUMBER(L251),ISNUMBER(H251)),L251-H251-I251,"")</f>
        <v/>
      </c>
      <c r="O251" s="43" t="n"/>
      <c r="P251" s="47" t="n"/>
      <c r="Q251" s="55">
        <f>IF(A251="","",IF(B251="Expected",IF(D251="Violation",IF(H251="","Needs start",IF(AND(K251&lt;&gt;"",OR(M251&lt;&gt;"Monitoring",Settings!$B$7="Yes"),ISNUMBER(L251),L251&lt;=J251),"TP","FN")),IF(AND(K251&lt;&gt;"",OR(M251&lt;&gt;"Monitoring",Settings!$B$7="Yes")),"FP","TN")),IF(P251="","Needs tag",IF(OR(P251="False alarm",P251="Unscripted – false alarm"),"FP",IF(P251="Duplicate","Duplicate",IF(P251="Late (real act)","Late","Excluded"))))))</f>
        <v/>
      </c>
      <c r="R251" s="47" t="n"/>
      <c r="S251" s="43" t="n"/>
      <c r="T251" s="43" t="n"/>
      <c r="U251" s="43" t="n"/>
      <c r="V251" s="47" t="n"/>
      <c r="W251" s="47" t="n"/>
      <c r="X251" s="52" t="n"/>
      <c r="Y251" s="43" t="n"/>
      <c r="Z251" s="55">
        <f>IF(OR(Y251="",Q251=""),"",IF(Y251=Q251,"OK","MISMATCH"))</f>
        <v/>
      </c>
      <c r="AA251" s="43" t="n"/>
    </row>
    <row r="252" ht="15" customHeight="1" s="35">
      <c r="A252" s="43" t="n"/>
      <c r="B252" s="47" t="n"/>
      <c r="C252" s="47" t="n"/>
      <c r="D252" s="47" t="n"/>
      <c r="E252" s="43" t="n"/>
      <c r="F252" s="52" t="n"/>
      <c r="G252" s="43" t="n"/>
      <c r="H252" s="51" t="n"/>
      <c r="I252" s="53">
        <f>IF(B252&lt;&gt;"Expected","",IF(C252="Parking Obstruction",IF(G252="Validation",Settings!$B$9,Settings!$B$8),IF(C252="Drinking",IF(G252="Validation",Settings!$B$11,Settings!$B$10),0)))</f>
        <v/>
      </c>
      <c r="J252" s="54">
        <f>IF(OR(B252&lt;&gt;"Expected",D252&lt;&gt;"Violation",H252=""),"",H252+I252+Settings!$B$5)</f>
        <v/>
      </c>
      <c r="K252" s="43" t="n"/>
      <c r="L252" s="51" t="n"/>
      <c r="M252" s="43" t="n"/>
      <c r="N252" s="54">
        <f>IF(AND(B252="Expected",D252="Violation",K252&lt;&gt;"",ISNUMBER(L252),ISNUMBER(H252)),L252-H252-I252,"")</f>
        <v/>
      </c>
      <c r="O252" s="43" t="n"/>
      <c r="P252" s="47" t="n"/>
      <c r="Q252" s="55">
        <f>IF(A252="","",IF(B252="Expected",IF(D252="Violation",IF(H252="","Needs start",IF(AND(K252&lt;&gt;"",OR(M252&lt;&gt;"Monitoring",Settings!$B$7="Yes"),ISNUMBER(L252),L252&lt;=J252),"TP","FN")),IF(AND(K252&lt;&gt;"",OR(M252&lt;&gt;"Monitoring",Settings!$B$7="Yes")),"FP","TN")),IF(P252="","Needs tag",IF(OR(P252="False alarm",P252="Unscripted – false alarm"),"FP",IF(P252="Duplicate","Duplicate",IF(P252="Late (real act)","Late","Excluded"))))))</f>
        <v/>
      </c>
      <c r="R252" s="47" t="n"/>
      <c r="S252" s="43" t="n"/>
      <c r="T252" s="43" t="n"/>
      <c r="U252" s="43" t="n"/>
      <c r="V252" s="47" t="n"/>
      <c r="W252" s="47" t="n"/>
      <c r="X252" s="52" t="n"/>
      <c r="Y252" s="43" t="n"/>
      <c r="Z252" s="55">
        <f>IF(OR(Y252="",Q252=""),"",IF(Y252=Q252,"OK","MISMATCH"))</f>
        <v/>
      </c>
      <c r="AA252" s="43" t="n"/>
    </row>
    <row r="253" ht="15" customHeight="1" s="35">
      <c r="A253" s="43" t="n"/>
      <c r="B253" s="47" t="n"/>
      <c r="C253" s="47" t="n"/>
      <c r="D253" s="47" t="n"/>
      <c r="E253" s="43" t="n"/>
      <c r="F253" s="52" t="n"/>
      <c r="G253" s="43" t="n"/>
      <c r="H253" s="51" t="n"/>
      <c r="I253" s="53">
        <f>IF(B253&lt;&gt;"Expected","",IF(C253="Parking Obstruction",IF(G253="Validation",Settings!$B$9,Settings!$B$8),IF(C253="Drinking",IF(G253="Validation",Settings!$B$11,Settings!$B$10),0)))</f>
        <v/>
      </c>
      <c r="J253" s="54">
        <f>IF(OR(B253&lt;&gt;"Expected",D253&lt;&gt;"Violation",H253=""),"",H253+I253+Settings!$B$5)</f>
        <v/>
      </c>
      <c r="K253" s="43" t="n"/>
      <c r="L253" s="51" t="n"/>
      <c r="M253" s="43" t="n"/>
      <c r="N253" s="54">
        <f>IF(AND(B253="Expected",D253="Violation",K253&lt;&gt;"",ISNUMBER(L253),ISNUMBER(H253)),L253-H253-I253,"")</f>
        <v/>
      </c>
      <c r="O253" s="43" t="n"/>
      <c r="P253" s="47" t="n"/>
      <c r="Q253" s="55">
        <f>IF(A253="","",IF(B253="Expected",IF(D253="Violation",IF(H253="","Needs start",IF(AND(K253&lt;&gt;"",OR(M253&lt;&gt;"Monitoring",Settings!$B$7="Yes"),ISNUMBER(L253),L253&lt;=J253),"TP","FN")),IF(AND(K253&lt;&gt;"",OR(M253&lt;&gt;"Monitoring",Settings!$B$7="Yes")),"FP","TN")),IF(P253="","Needs tag",IF(OR(P253="False alarm",P253="Unscripted – false alarm"),"FP",IF(P253="Duplicate","Duplicate",IF(P253="Late (real act)","Late","Excluded"))))))</f>
        <v/>
      </c>
      <c r="R253" s="47" t="n"/>
      <c r="S253" s="43" t="n"/>
      <c r="T253" s="43" t="n"/>
      <c r="U253" s="43" t="n"/>
      <c r="V253" s="47" t="n"/>
      <c r="W253" s="47" t="n"/>
      <c r="X253" s="52" t="n"/>
      <c r="Y253" s="43" t="n"/>
      <c r="Z253" s="55">
        <f>IF(OR(Y253="",Q253=""),"",IF(Y253=Q253,"OK","MISMATCH"))</f>
        <v/>
      </c>
      <c r="AA253" s="43" t="n"/>
    </row>
    <row r="254" ht="15" customHeight="1" s="35">
      <c r="A254" s="43" t="n"/>
      <c r="B254" s="47" t="n"/>
      <c r="C254" s="47" t="n"/>
      <c r="D254" s="47" t="n"/>
      <c r="E254" s="43" t="n"/>
      <c r="F254" s="52" t="n"/>
      <c r="G254" s="43" t="n"/>
      <c r="H254" s="51" t="n"/>
      <c r="I254" s="53">
        <f>IF(B254&lt;&gt;"Expected","",IF(C254="Parking Obstruction",IF(G254="Validation",Settings!$B$9,Settings!$B$8),IF(C254="Drinking",IF(G254="Validation",Settings!$B$11,Settings!$B$10),0)))</f>
        <v/>
      </c>
      <c r="J254" s="54">
        <f>IF(OR(B254&lt;&gt;"Expected",D254&lt;&gt;"Violation",H254=""),"",H254+I254+Settings!$B$5)</f>
        <v/>
      </c>
      <c r="K254" s="43" t="n"/>
      <c r="L254" s="51" t="n"/>
      <c r="M254" s="43" t="n"/>
      <c r="N254" s="54">
        <f>IF(AND(B254="Expected",D254="Violation",K254&lt;&gt;"",ISNUMBER(L254),ISNUMBER(H254)),L254-H254-I254,"")</f>
        <v/>
      </c>
      <c r="O254" s="43" t="n"/>
      <c r="P254" s="47" t="n"/>
      <c r="Q254" s="55">
        <f>IF(A254="","",IF(B254="Expected",IF(D254="Violation",IF(H254="","Needs start",IF(AND(K254&lt;&gt;"",OR(M254&lt;&gt;"Monitoring",Settings!$B$7="Yes"),ISNUMBER(L254),L254&lt;=J254),"TP","FN")),IF(AND(K254&lt;&gt;"",OR(M254&lt;&gt;"Monitoring",Settings!$B$7="Yes")),"FP","TN")),IF(P254="","Needs tag",IF(OR(P254="False alarm",P254="Unscripted – false alarm"),"FP",IF(P254="Duplicate","Duplicate",IF(P254="Late (real act)","Late","Excluded"))))))</f>
        <v/>
      </c>
      <c r="R254" s="47" t="n"/>
      <c r="S254" s="43" t="n"/>
      <c r="T254" s="43" t="n"/>
      <c r="U254" s="43" t="n"/>
      <c r="V254" s="47" t="n"/>
      <c r="W254" s="47" t="n"/>
      <c r="X254" s="52" t="n"/>
      <c r="Y254" s="43" t="n"/>
      <c r="Z254" s="55">
        <f>IF(OR(Y254="",Q254=""),"",IF(Y254=Q254,"OK","MISMATCH"))</f>
        <v/>
      </c>
      <c r="AA254" s="43" t="n"/>
    </row>
    <row r="255" ht="15" customHeight="1" s="35">
      <c r="A255" s="43" t="n"/>
      <c r="B255" s="47" t="n"/>
      <c r="C255" s="47" t="n"/>
      <c r="D255" s="47" t="n"/>
      <c r="E255" s="43" t="n"/>
      <c r="F255" s="52" t="n"/>
      <c r="G255" s="43" t="n"/>
      <c r="H255" s="51" t="n"/>
      <c r="I255" s="53">
        <f>IF(B255&lt;&gt;"Expected","",IF(C255="Parking Obstruction",IF(G255="Validation",Settings!$B$9,Settings!$B$8),IF(C255="Drinking",IF(G255="Validation",Settings!$B$11,Settings!$B$10),0)))</f>
        <v/>
      </c>
      <c r="J255" s="54">
        <f>IF(OR(B255&lt;&gt;"Expected",D255&lt;&gt;"Violation",H255=""),"",H255+I255+Settings!$B$5)</f>
        <v/>
      </c>
      <c r="K255" s="43" t="n"/>
      <c r="L255" s="51" t="n"/>
      <c r="M255" s="43" t="n"/>
      <c r="N255" s="54">
        <f>IF(AND(B255="Expected",D255="Violation",K255&lt;&gt;"",ISNUMBER(L255),ISNUMBER(H255)),L255-H255-I255,"")</f>
        <v/>
      </c>
      <c r="O255" s="43" t="n"/>
      <c r="P255" s="47" t="n"/>
      <c r="Q255" s="55">
        <f>IF(A255="","",IF(B255="Expected",IF(D255="Violation",IF(H255="","Needs start",IF(AND(K255&lt;&gt;"",OR(M255&lt;&gt;"Monitoring",Settings!$B$7="Yes"),ISNUMBER(L255),L255&lt;=J255),"TP","FN")),IF(AND(K255&lt;&gt;"",OR(M255&lt;&gt;"Monitoring",Settings!$B$7="Yes")),"FP","TN")),IF(P255="","Needs tag",IF(OR(P255="False alarm",P255="Unscripted – false alarm"),"FP",IF(P255="Duplicate","Duplicate",IF(P255="Late (real act)","Late","Excluded"))))))</f>
        <v/>
      </c>
      <c r="R255" s="47" t="n"/>
      <c r="S255" s="43" t="n"/>
      <c r="T255" s="43" t="n"/>
      <c r="U255" s="43" t="n"/>
      <c r="V255" s="47" t="n"/>
      <c r="W255" s="47" t="n"/>
      <c r="X255" s="52" t="n"/>
      <c r="Y255" s="43" t="n"/>
      <c r="Z255" s="55">
        <f>IF(OR(Y255="",Q255=""),"",IF(Y255=Q255,"OK","MISMATCH"))</f>
        <v/>
      </c>
      <c r="AA255" s="43" t="n"/>
    </row>
    <row r="256" ht="15" customHeight="1" s="35">
      <c r="A256" s="43" t="n"/>
      <c r="B256" s="47" t="n"/>
      <c r="C256" s="47" t="n"/>
      <c r="D256" s="47" t="n"/>
      <c r="E256" s="43" t="n"/>
      <c r="F256" s="52" t="n"/>
      <c r="G256" s="43" t="n"/>
      <c r="H256" s="51" t="n"/>
      <c r="I256" s="53">
        <f>IF(B256&lt;&gt;"Expected","",IF(C256="Parking Obstruction",IF(G256="Validation",Settings!$B$9,Settings!$B$8),IF(C256="Drinking",IF(G256="Validation",Settings!$B$11,Settings!$B$10),0)))</f>
        <v/>
      </c>
      <c r="J256" s="54">
        <f>IF(OR(B256&lt;&gt;"Expected",D256&lt;&gt;"Violation",H256=""),"",H256+I256+Settings!$B$5)</f>
        <v/>
      </c>
      <c r="K256" s="43" t="n"/>
      <c r="L256" s="51" t="n"/>
      <c r="M256" s="43" t="n"/>
      <c r="N256" s="54">
        <f>IF(AND(B256="Expected",D256="Violation",K256&lt;&gt;"",ISNUMBER(L256),ISNUMBER(H256)),L256-H256-I256,"")</f>
        <v/>
      </c>
      <c r="O256" s="43" t="n"/>
      <c r="P256" s="47" t="n"/>
      <c r="Q256" s="55">
        <f>IF(A256="","",IF(B256="Expected",IF(D256="Violation",IF(H256="","Needs start",IF(AND(K256&lt;&gt;"",OR(M256&lt;&gt;"Monitoring",Settings!$B$7="Yes"),ISNUMBER(L256),L256&lt;=J256),"TP","FN")),IF(AND(K256&lt;&gt;"",OR(M256&lt;&gt;"Monitoring",Settings!$B$7="Yes")),"FP","TN")),IF(P256="","Needs tag",IF(OR(P256="False alarm",P256="Unscripted – false alarm"),"FP",IF(P256="Duplicate","Duplicate",IF(P256="Late (real act)","Late","Excluded"))))))</f>
        <v/>
      </c>
      <c r="R256" s="47" t="n"/>
      <c r="S256" s="43" t="n"/>
      <c r="T256" s="43" t="n"/>
      <c r="U256" s="43" t="n"/>
      <c r="V256" s="47" t="n"/>
      <c r="W256" s="47" t="n"/>
      <c r="X256" s="52" t="n"/>
      <c r="Y256" s="43" t="n"/>
      <c r="Z256" s="55">
        <f>IF(OR(Y256="",Q256=""),"",IF(Y256=Q256,"OK","MISMATCH"))</f>
        <v/>
      </c>
      <c r="AA256" s="43" t="n"/>
    </row>
    <row r="257" ht="15" customHeight="1" s="35">
      <c r="A257" s="43" t="n"/>
      <c r="B257" s="47" t="n"/>
      <c r="C257" s="47" t="n"/>
      <c r="D257" s="47" t="n"/>
      <c r="E257" s="43" t="n"/>
      <c r="F257" s="52" t="n"/>
      <c r="G257" s="43" t="n"/>
      <c r="H257" s="51" t="n"/>
      <c r="I257" s="53">
        <f>IF(B257&lt;&gt;"Expected","",IF(C257="Parking Obstruction",IF(G257="Validation",Settings!$B$9,Settings!$B$8),IF(C257="Drinking",IF(G257="Validation",Settings!$B$11,Settings!$B$10),0)))</f>
        <v/>
      </c>
      <c r="J257" s="54">
        <f>IF(OR(B257&lt;&gt;"Expected",D257&lt;&gt;"Violation",H257=""),"",H257+I257+Settings!$B$5)</f>
        <v/>
      </c>
      <c r="K257" s="43" t="n"/>
      <c r="L257" s="51" t="n"/>
      <c r="M257" s="43" t="n"/>
      <c r="N257" s="54">
        <f>IF(AND(B257="Expected",D257="Violation",K257&lt;&gt;"",ISNUMBER(L257),ISNUMBER(H257)),L257-H257-I257,"")</f>
        <v/>
      </c>
      <c r="O257" s="43" t="n"/>
      <c r="P257" s="47" t="n"/>
      <c r="Q257" s="55">
        <f>IF(A257="","",IF(B257="Expected",IF(D257="Violation",IF(H257="","Needs start",IF(AND(K257&lt;&gt;"",OR(M257&lt;&gt;"Monitoring",Settings!$B$7="Yes"),ISNUMBER(L257),L257&lt;=J257),"TP","FN")),IF(AND(K257&lt;&gt;"",OR(M257&lt;&gt;"Monitoring",Settings!$B$7="Yes")),"FP","TN")),IF(P257="","Needs tag",IF(OR(P257="False alarm",P257="Unscripted – false alarm"),"FP",IF(P257="Duplicate","Duplicate",IF(P257="Late (real act)","Late","Excluded"))))))</f>
        <v/>
      </c>
      <c r="R257" s="47" t="n"/>
      <c r="S257" s="43" t="n"/>
      <c r="T257" s="43" t="n"/>
      <c r="U257" s="43" t="n"/>
      <c r="V257" s="47" t="n"/>
      <c r="W257" s="47" t="n"/>
      <c r="X257" s="52" t="n"/>
      <c r="Y257" s="43" t="n"/>
      <c r="Z257" s="55">
        <f>IF(OR(Y257="",Q257=""),"",IF(Y257=Q257,"OK","MISMATCH"))</f>
        <v/>
      </c>
      <c r="AA257" s="43" t="n"/>
    </row>
    <row r="258" ht="15" customHeight="1" s="35">
      <c r="A258" s="43" t="n"/>
      <c r="B258" s="47" t="n"/>
      <c r="C258" s="47" t="n"/>
      <c r="D258" s="47" t="n"/>
      <c r="E258" s="43" t="n"/>
      <c r="F258" s="52" t="n"/>
      <c r="G258" s="43" t="n"/>
      <c r="H258" s="51" t="n"/>
      <c r="I258" s="53">
        <f>IF(B258&lt;&gt;"Expected","",IF(C258="Parking Obstruction",IF(G258="Validation",Settings!$B$9,Settings!$B$8),IF(C258="Drinking",IF(G258="Validation",Settings!$B$11,Settings!$B$10),0)))</f>
        <v/>
      </c>
      <c r="J258" s="54">
        <f>IF(OR(B258&lt;&gt;"Expected",D258&lt;&gt;"Violation",H258=""),"",H258+I258+Settings!$B$5)</f>
        <v/>
      </c>
      <c r="K258" s="43" t="n"/>
      <c r="L258" s="51" t="n"/>
      <c r="M258" s="43" t="n"/>
      <c r="N258" s="54">
        <f>IF(AND(B258="Expected",D258="Violation",K258&lt;&gt;"",ISNUMBER(L258),ISNUMBER(H258)),L258-H258-I258,"")</f>
        <v/>
      </c>
      <c r="O258" s="43" t="n"/>
      <c r="P258" s="47" t="n"/>
      <c r="Q258" s="55">
        <f>IF(A258="","",IF(B258="Expected",IF(D258="Violation",IF(H258="","Needs start",IF(AND(K258&lt;&gt;"",OR(M258&lt;&gt;"Monitoring",Settings!$B$7="Yes"),ISNUMBER(L258),L258&lt;=J258),"TP","FN")),IF(AND(K258&lt;&gt;"",OR(M258&lt;&gt;"Monitoring",Settings!$B$7="Yes")),"FP","TN")),IF(P258="","Needs tag",IF(OR(P258="False alarm",P258="Unscripted – false alarm"),"FP",IF(P258="Duplicate","Duplicate",IF(P258="Late (real act)","Late","Excluded"))))))</f>
        <v/>
      </c>
      <c r="R258" s="47" t="n"/>
      <c r="S258" s="43" t="n"/>
      <c r="T258" s="43" t="n"/>
      <c r="U258" s="43" t="n"/>
      <c r="V258" s="47" t="n"/>
      <c r="W258" s="47" t="n"/>
      <c r="X258" s="52" t="n"/>
      <c r="Y258" s="43" t="n"/>
      <c r="Z258" s="55">
        <f>IF(OR(Y258="",Q258=""),"",IF(Y258=Q258,"OK","MISMATCH"))</f>
        <v/>
      </c>
      <c r="AA258" s="43" t="n"/>
    </row>
    <row r="259" ht="15" customHeight="1" s="35">
      <c r="A259" s="43" t="n"/>
      <c r="B259" s="47" t="n"/>
      <c r="C259" s="47" t="n"/>
      <c r="D259" s="47" t="n"/>
      <c r="E259" s="43" t="n"/>
      <c r="F259" s="52" t="n"/>
      <c r="G259" s="43" t="n"/>
      <c r="H259" s="51" t="n"/>
      <c r="I259" s="53">
        <f>IF(B259&lt;&gt;"Expected","",IF(C259="Parking Obstruction",IF(G259="Validation",Settings!$B$9,Settings!$B$8),IF(C259="Drinking",IF(G259="Validation",Settings!$B$11,Settings!$B$10),0)))</f>
        <v/>
      </c>
      <c r="J259" s="54">
        <f>IF(OR(B259&lt;&gt;"Expected",D259&lt;&gt;"Violation",H259=""),"",H259+I259+Settings!$B$5)</f>
        <v/>
      </c>
      <c r="K259" s="43" t="n"/>
      <c r="L259" s="51" t="n"/>
      <c r="M259" s="43" t="n"/>
      <c r="N259" s="54">
        <f>IF(AND(B259="Expected",D259="Violation",K259&lt;&gt;"",ISNUMBER(L259),ISNUMBER(H259)),L259-H259-I259,"")</f>
        <v/>
      </c>
      <c r="O259" s="43" t="n"/>
      <c r="P259" s="47" t="n"/>
      <c r="Q259" s="55">
        <f>IF(A259="","",IF(B259="Expected",IF(D259="Violation",IF(H259="","Needs start",IF(AND(K259&lt;&gt;"",OR(M259&lt;&gt;"Monitoring",Settings!$B$7="Yes"),ISNUMBER(L259),L259&lt;=J259),"TP","FN")),IF(AND(K259&lt;&gt;"",OR(M259&lt;&gt;"Monitoring",Settings!$B$7="Yes")),"FP","TN")),IF(P259="","Needs tag",IF(OR(P259="False alarm",P259="Unscripted – false alarm"),"FP",IF(P259="Duplicate","Duplicate",IF(P259="Late (real act)","Late","Excluded"))))))</f>
        <v/>
      </c>
      <c r="R259" s="47" t="n"/>
      <c r="S259" s="43" t="n"/>
      <c r="T259" s="43" t="n"/>
      <c r="U259" s="43" t="n"/>
      <c r="V259" s="47" t="n"/>
      <c r="W259" s="47" t="n"/>
      <c r="X259" s="52" t="n"/>
      <c r="Y259" s="43" t="n"/>
      <c r="Z259" s="55">
        <f>IF(OR(Y259="",Q259=""),"",IF(Y259=Q259,"OK","MISMATCH"))</f>
        <v/>
      </c>
      <c r="AA259" s="43" t="n"/>
    </row>
    <row r="260" ht="15" customHeight="1" s="35">
      <c r="A260" s="43" t="n"/>
      <c r="B260" s="47" t="n"/>
      <c r="C260" s="47" t="n"/>
      <c r="D260" s="47" t="n"/>
      <c r="E260" s="43" t="n"/>
      <c r="F260" s="52" t="n"/>
      <c r="G260" s="43" t="n"/>
      <c r="H260" s="51" t="n"/>
      <c r="I260" s="53">
        <f>IF(B260&lt;&gt;"Expected","",IF(C260="Parking Obstruction",IF(G260="Validation",Settings!$B$9,Settings!$B$8),IF(C260="Drinking",IF(G260="Validation",Settings!$B$11,Settings!$B$10),0)))</f>
        <v/>
      </c>
      <c r="J260" s="54">
        <f>IF(OR(B260&lt;&gt;"Expected",D260&lt;&gt;"Violation",H260=""),"",H260+I260+Settings!$B$5)</f>
        <v/>
      </c>
      <c r="K260" s="43" t="n"/>
      <c r="L260" s="51" t="n"/>
      <c r="M260" s="43" t="n"/>
      <c r="N260" s="54">
        <f>IF(AND(B260="Expected",D260="Violation",K260&lt;&gt;"",ISNUMBER(L260),ISNUMBER(H260)),L260-H260-I260,"")</f>
        <v/>
      </c>
      <c r="O260" s="43" t="n"/>
      <c r="P260" s="47" t="n"/>
      <c r="Q260" s="55">
        <f>IF(A260="","",IF(B260="Expected",IF(D260="Violation",IF(H260="","Needs start",IF(AND(K260&lt;&gt;"",OR(M260&lt;&gt;"Monitoring",Settings!$B$7="Yes"),ISNUMBER(L260),L260&lt;=J260),"TP","FN")),IF(AND(K260&lt;&gt;"",OR(M260&lt;&gt;"Monitoring",Settings!$B$7="Yes")),"FP","TN")),IF(P260="","Needs tag",IF(OR(P260="False alarm",P260="Unscripted – false alarm"),"FP",IF(P260="Duplicate","Duplicate",IF(P260="Late (real act)","Late","Excluded"))))))</f>
        <v/>
      </c>
      <c r="R260" s="47" t="n"/>
      <c r="S260" s="43" t="n"/>
      <c r="T260" s="43" t="n"/>
      <c r="U260" s="43" t="n"/>
      <c r="V260" s="47" t="n"/>
      <c r="W260" s="47" t="n"/>
      <c r="X260" s="52" t="n"/>
      <c r="Y260" s="43" t="n"/>
      <c r="Z260" s="55">
        <f>IF(OR(Y260="",Q260=""),"",IF(Y260=Q260,"OK","MISMATCH"))</f>
        <v/>
      </c>
      <c r="AA260" s="43" t="n"/>
    </row>
    <row r="261" ht="15" customHeight="1" s="35">
      <c r="A261" s="43" t="n"/>
      <c r="B261" s="47" t="n"/>
      <c r="C261" s="47" t="n"/>
      <c r="D261" s="47" t="n"/>
      <c r="E261" s="43" t="n"/>
      <c r="F261" s="52" t="n"/>
      <c r="G261" s="43" t="n"/>
      <c r="H261" s="51" t="n"/>
      <c r="I261" s="53">
        <f>IF(B261&lt;&gt;"Expected","",IF(C261="Parking Obstruction",IF(G261="Validation",Settings!$B$9,Settings!$B$8),IF(C261="Drinking",IF(G261="Validation",Settings!$B$11,Settings!$B$10),0)))</f>
        <v/>
      </c>
      <c r="J261" s="54">
        <f>IF(OR(B261&lt;&gt;"Expected",D261&lt;&gt;"Violation",H261=""),"",H261+I261+Settings!$B$5)</f>
        <v/>
      </c>
      <c r="K261" s="43" t="n"/>
      <c r="L261" s="51" t="n"/>
      <c r="M261" s="43" t="n"/>
      <c r="N261" s="54">
        <f>IF(AND(B261="Expected",D261="Violation",K261&lt;&gt;"",ISNUMBER(L261),ISNUMBER(H261)),L261-H261-I261,"")</f>
        <v/>
      </c>
      <c r="O261" s="43" t="n"/>
      <c r="P261" s="47" t="n"/>
      <c r="Q261" s="55">
        <f>IF(A261="","",IF(B261="Expected",IF(D261="Violation",IF(H261="","Needs start",IF(AND(K261&lt;&gt;"",OR(M261&lt;&gt;"Monitoring",Settings!$B$7="Yes"),ISNUMBER(L261),L261&lt;=J261),"TP","FN")),IF(AND(K261&lt;&gt;"",OR(M261&lt;&gt;"Monitoring",Settings!$B$7="Yes")),"FP","TN")),IF(P261="","Needs tag",IF(OR(P261="False alarm",P261="Unscripted – false alarm"),"FP",IF(P261="Duplicate","Duplicate",IF(P261="Late (real act)","Late","Excluded"))))))</f>
        <v/>
      </c>
      <c r="R261" s="47" t="n"/>
      <c r="S261" s="43" t="n"/>
      <c r="T261" s="43" t="n"/>
      <c r="U261" s="43" t="n"/>
      <c r="V261" s="47" t="n"/>
      <c r="W261" s="47" t="n"/>
      <c r="X261" s="52" t="n"/>
      <c r="Y261" s="43" t="n"/>
      <c r="Z261" s="55">
        <f>IF(OR(Y261="",Q261=""),"",IF(Y261=Q261,"OK","MISMATCH"))</f>
        <v/>
      </c>
      <c r="AA261" s="43" t="n"/>
    </row>
    <row r="262" ht="15" customHeight="1" s="35">
      <c r="A262" s="43" t="n"/>
      <c r="B262" s="47" t="n"/>
      <c r="C262" s="47" t="n"/>
      <c r="D262" s="47" t="n"/>
      <c r="E262" s="43" t="n"/>
      <c r="F262" s="52" t="n"/>
      <c r="G262" s="43" t="n"/>
      <c r="H262" s="51" t="n"/>
      <c r="I262" s="53">
        <f>IF(B262&lt;&gt;"Expected","",IF(C262="Parking Obstruction",IF(G262="Validation",Settings!$B$9,Settings!$B$8),IF(C262="Drinking",IF(G262="Validation",Settings!$B$11,Settings!$B$10),0)))</f>
        <v/>
      </c>
      <c r="J262" s="54">
        <f>IF(OR(B262&lt;&gt;"Expected",D262&lt;&gt;"Violation",H262=""),"",H262+I262+Settings!$B$5)</f>
        <v/>
      </c>
      <c r="K262" s="43" t="n"/>
      <c r="L262" s="51" t="n"/>
      <c r="M262" s="43" t="n"/>
      <c r="N262" s="54">
        <f>IF(AND(B262="Expected",D262="Violation",K262&lt;&gt;"",ISNUMBER(L262),ISNUMBER(H262)),L262-H262-I262,"")</f>
        <v/>
      </c>
      <c r="O262" s="43" t="n"/>
      <c r="P262" s="47" t="n"/>
      <c r="Q262" s="55">
        <f>IF(A262="","",IF(B262="Expected",IF(D262="Violation",IF(H262="","Needs start",IF(AND(K262&lt;&gt;"",OR(M262&lt;&gt;"Monitoring",Settings!$B$7="Yes"),ISNUMBER(L262),L262&lt;=J262),"TP","FN")),IF(AND(K262&lt;&gt;"",OR(M262&lt;&gt;"Monitoring",Settings!$B$7="Yes")),"FP","TN")),IF(P262="","Needs tag",IF(OR(P262="False alarm",P262="Unscripted – false alarm"),"FP",IF(P262="Duplicate","Duplicate",IF(P262="Late (real act)","Late","Excluded"))))))</f>
        <v/>
      </c>
      <c r="R262" s="47" t="n"/>
      <c r="S262" s="43" t="n"/>
      <c r="T262" s="43" t="n"/>
      <c r="U262" s="43" t="n"/>
      <c r="V262" s="47" t="n"/>
      <c r="W262" s="47" t="n"/>
      <c r="X262" s="52" t="n"/>
      <c r="Y262" s="43" t="n"/>
      <c r="Z262" s="55">
        <f>IF(OR(Y262="",Q262=""),"",IF(Y262=Q262,"OK","MISMATCH"))</f>
        <v/>
      </c>
      <c r="AA262" s="43" t="n"/>
    </row>
    <row r="263" ht="15" customHeight="1" s="35">
      <c r="A263" s="43" t="n"/>
      <c r="B263" s="47" t="n"/>
      <c r="C263" s="47" t="n"/>
      <c r="D263" s="47" t="n"/>
      <c r="E263" s="43" t="n"/>
      <c r="F263" s="52" t="n"/>
      <c r="G263" s="43" t="n"/>
      <c r="H263" s="51" t="n"/>
      <c r="I263" s="53">
        <f>IF(B263&lt;&gt;"Expected","",IF(C263="Parking Obstruction",IF(G263="Validation",Settings!$B$9,Settings!$B$8),IF(C263="Drinking",IF(G263="Validation",Settings!$B$11,Settings!$B$10),0)))</f>
        <v/>
      </c>
      <c r="J263" s="54">
        <f>IF(OR(B263&lt;&gt;"Expected",D263&lt;&gt;"Violation",H263=""),"",H263+I263+Settings!$B$5)</f>
        <v/>
      </c>
      <c r="K263" s="43" t="n"/>
      <c r="L263" s="51" t="n"/>
      <c r="M263" s="43" t="n"/>
      <c r="N263" s="54">
        <f>IF(AND(B263="Expected",D263="Violation",K263&lt;&gt;"",ISNUMBER(L263),ISNUMBER(H263)),L263-H263-I263,"")</f>
        <v/>
      </c>
      <c r="O263" s="43" t="n"/>
      <c r="P263" s="47" t="n"/>
      <c r="Q263" s="55">
        <f>IF(A263="","",IF(B263="Expected",IF(D263="Violation",IF(H263="","Needs start",IF(AND(K263&lt;&gt;"",OR(M263&lt;&gt;"Monitoring",Settings!$B$7="Yes"),ISNUMBER(L263),L263&lt;=J263),"TP","FN")),IF(AND(K263&lt;&gt;"",OR(M263&lt;&gt;"Monitoring",Settings!$B$7="Yes")),"FP","TN")),IF(P263="","Needs tag",IF(OR(P263="False alarm",P263="Unscripted – false alarm"),"FP",IF(P263="Duplicate","Duplicate",IF(P263="Late (real act)","Late","Excluded"))))))</f>
        <v/>
      </c>
      <c r="R263" s="47" t="n"/>
      <c r="S263" s="43" t="n"/>
      <c r="T263" s="43" t="n"/>
      <c r="U263" s="43" t="n"/>
      <c r="V263" s="47" t="n"/>
      <c r="W263" s="47" t="n"/>
      <c r="X263" s="52" t="n"/>
      <c r="Y263" s="43" t="n"/>
      <c r="Z263" s="55">
        <f>IF(OR(Y263="",Q263=""),"",IF(Y263=Q263,"OK","MISMATCH"))</f>
        <v/>
      </c>
      <c r="AA263" s="43" t="n"/>
    </row>
    <row r="264" ht="15" customHeight="1" s="35">
      <c r="A264" s="43" t="n"/>
      <c r="B264" s="47" t="n"/>
      <c r="C264" s="47" t="n"/>
      <c r="D264" s="47" t="n"/>
      <c r="E264" s="43" t="n"/>
      <c r="F264" s="52" t="n"/>
      <c r="G264" s="43" t="n"/>
      <c r="H264" s="51" t="n"/>
      <c r="I264" s="53">
        <f>IF(B264&lt;&gt;"Expected","",IF(C264="Parking Obstruction",IF(G264="Validation",Settings!$B$9,Settings!$B$8),IF(C264="Drinking",IF(G264="Validation",Settings!$B$11,Settings!$B$10),0)))</f>
        <v/>
      </c>
      <c r="J264" s="54">
        <f>IF(OR(B264&lt;&gt;"Expected",D264&lt;&gt;"Violation",H264=""),"",H264+I264+Settings!$B$5)</f>
        <v/>
      </c>
      <c r="K264" s="43" t="n"/>
      <c r="L264" s="51" t="n"/>
      <c r="M264" s="43" t="n"/>
      <c r="N264" s="54">
        <f>IF(AND(B264="Expected",D264="Violation",K264&lt;&gt;"",ISNUMBER(L264),ISNUMBER(H264)),L264-H264-I264,"")</f>
        <v/>
      </c>
      <c r="O264" s="43" t="n"/>
      <c r="P264" s="47" t="n"/>
      <c r="Q264" s="55">
        <f>IF(A264="","",IF(B264="Expected",IF(D264="Violation",IF(H264="","Needs start",IF(AND(K264&lt;&gt;"",OR(M264&lt;&gt;"Monitoring",Settings!$B$7="Yes"),ISNUMBER(L264),L264&lt;=J264),"TP","FN")),IF(AND(K264&lt;&gt;"",OR(M264&lt;&gt;"Monitoring",Settings!$B$7="Yes")),"FP","TN")),IF(P264="","Needs tag",IF(OR(P264="False alarm",P264="Unscripted – false alarm"),"FP",IF(P264="Duplicate","Duplicate",IF(P264="Late (real act)","Late","Excluded"))))))</f>
        <v/>
      </c>
      <c r="R264" s="47" t="n"/>
      <c r="S264" s="43" t="n"/>
      <c r="T264" s="43" t="n"/>
      <c r="U264" s="43" t="n"/>
      <c r="V264" s="47" t="n"/>
      <c r="W264" s="47" t="n"/>
      <c r="X264" s="52" t="n"/>
      <c r="Y264" s="43" t="n"/>
      <c r="Z264" s="55">
        <f>IF(OR(Y264="",Q264=""),"",IF(Y264=Q264,"OK","MISMATCH"))</f>
        <v/>
      </c>
      <c r="AA264" s="43" t="n"/>
    </row>
    <row r="265" ht="15" customHeight="1" s="35">
      <c r="A265" s="43" t="n"/>
      <c r="B265" s="47" t="n"/>
      <c r="C265" s="47" t="n"/>
      <c r="D265" s="47" t="n"/>
      <c r="E265" s="43" t="n"/>
      <c r="F265" s="52" t="n"/>
      <c r="G265" s="43" t="n"/>
      <c r="H265" s="51" t="n"/>
      <c r="I265" s="53">
        <f>IF(B265&lt;&gt;"Expected","",IF(C265="Parking Obstruction",IF(G265="Validation",Settings!$B$9,Settings!$B$8),IF(C265="Drinking",IF(G265="Validation",Settings!$B$11,Settings!$B$10),0)))</f>
        <v/>
      </c>
      <c r="J265" s="54">
        <f>IF(OR(B265&lt;&gt;"Expected",D265&lt;&gt;"Violation",H265=""),"",H265+I265+Settings!$B$5)</f>
        <v/>
      </c>
      <c r="K265" s="43" t="n"/>
      <c r="L265" s="51" t="n"/>
      <c r="M265" s="43" t="n"/>
      <c r="N265" s="54">
        <f>IF(AND(B265="Expected",D265="Violation",K265&lt;&gt;"",ISNUMBER(L265),ISNUMBER(H265)),L265-H265-I265,"")</f>
        <v/>
      </c>
      <c r="O265" s="43" t="n"/>
      <c r="P265" s="47" t="n"/>
      <c r="Q265" s="55">
        <f>IF(A265="","",IF(B265="Expected",IF(D265="Violation",IF(H265="","Needs start",IF(AND(K265&lt;&gt;"",OR(M265&lt;&gt;"Monitoring",Settings!$B$7="Yes"),ISNUMBER(L265),L265&lt;=J265),"TP","FN")),IF(AND(K265&lt;&gt;"",OR(M265&lt;&gt;"Monitoring",Settings!$B$7="Yes")),"FP","TN")),IF(P265="","Needs tag",IF(OR(P265="False alarm",P265="Unscripted – false alarm"),"FP",IF(P265="Duplicate","Duplicate",IF(P265="Late (real act)","Late","Excluded"))))))</f>
        <v/>
      </c>
      <c r="R265" s="47" t="n"/>
      <c r="S265" s="43" t="n"/>
      <c r="T265" s="43" t="n"/>
      <c r="U265" s="43" t="n"/>
      <c r="V265" s="47" t="n"/>
      <c r="W265" s="47" t="n"/>
      <c r="X265" s="52" t="n"/>
      <c r="Y265" s="43" t="n"/>
      <c r="Z265" s="55">
        <f>IF(OR(Y265="",Q265=""),"",IF(Y265=Q265,"OK","MISMATCH"))</f>
        <v/>
      </c>
      <c r="AA265" s="43" t="n"/>
    </row>
    <row r="266" ht="15" customHeight="1" s="35">
      <c r="A266" s="43" t="n"/>
      <c r="B266" s="47" t="n"/>
      <c r="C266" s="47" t="n"/>
      <c r="D266" s="47" t="n"/>
      <c r="E266" s="43" t="n"/>
      <c r="F266" s="52" t="n"/>
      <c r="G266" s="43" t="n"/>
      <c r="H266" s="51" t="n"/>
      <c r="I266" s="53">
        <f>IF(B266&lt;&gt;"Expected","",IF(C266="Parking Obstruction",IF(G266="Validation",Settings!$B$9,Settings!$B$8),IF(C266="Drinking",IF(G266="Validation",Settings!$B$11,Settings!$B$10),0)))</f>
        <v/>
      </c>
      <c r="J266" s="54">
        <f>IF(OR(B266&lt;&gt;"Expected",D266&lt;&gt;"Violation",H266=""),"",H266+I266+Settings!$B$5)</f>
        <v/>
      </c>
      <c r="K266" s="43" t="n"/>
      <c r="L266" s="51" t="n"/>
      <c r="M266" s="43" t="n"/>
      <c r="N266" s="54">
        <f>IF(AND(B266="Expected",D266="Violation",K266&lt;&gt;"",ISNUMBER(L266),ISNUMBER(H266)),L266-H266-I266,"")</f>
        <v/>
      </c>
      <c r="O266" s="43" t="n"/>
      <c r="P266" s="47" t="n"/>
      <c r="Q266" s="55">
        <f>IF(A266="","",IF(B266="Expected",IF(D266="Violation",IF(H266="","Needs start",IF(AND(K266&lt;&gt;"",OR(M266&lt;&gt;"Monitoring",Settings!$B$7="Yes"),ISNUMBER(L266),L266&lt;=J266),"TP","FN")),IF(AND(K266&lt;&gt;"",OR(M266&lt;&gt;"Monitoring",Settings!$B$7="Yes")),"FP","TN")),IF(P266="","Needs tag",IF(OR(P266="False alarm",P266="Unscripted – false alarm"),"FP",IF(P266="Duplicate","Duplicate",IF(P266="Late (real act)","Late","Excluded"))))))</f>
        <v/>
      </c>
      <c r="R266" s="47" t="n"/>
      <c r="S266" s="43" t="n"/>
      <c r="T266" s="43" t="n"/>
      <c r="U266" s="43" t="n"/>
      <c r="V266" s="47" t="n"/>
      <c r="W266" s="47" t="n"/>
      <c r="X266" s="52" t="n"/>
      <c r="Y266" s="43" t="n"/>
      <c r="Z266" s="55">
        <f>IF(OR(Y266="",Q266=""),"",IF(Y266=Q266,"OK","MISMATCH"))</f>
        <v/>
      </c>
      <c r="AA266" s="43" t="n"/>
    </row>
    <row r="267" ht="15" customHeight="1" s="35">
      <c r="A267" s="43" t="n"/>
      <c r="B267" s="47" t="n"/>
      <c r="C267" s="47" t="n"/>
      <c r="D267" s="47" t="n"/>
      <c r="E267" s="43" t="n"/>
      <c r="F267" s="52" t="n"/>
      <c r="G267" s="43" t="n"/>
      <c r="H267" s="51" t="n"/>
      <c r="I267" s="53">
        <f>IF(B267&lt;&gt;"Expected","",IF(C267="Parking Obstruction",IF(G267="Validation",Settings!$B$9,Settings!$B$8),IF(C267="Drinking",IF(G267="Validation",Settings!$B$11,Settings!$B$10),0)))</f>
        <v/>
      </c>
      <c r="J267" s="54">
        <f>IF(OR(B267&lt;&gt;"Expected",D267&lt;&gt;"Violation",H267=""),"",H267+I267+Settings!$B$5)</f>
        <v/>
      </c>
      <c r="K267" s="43" t="n"/>
      <c r="L267" s="51" t="n"/>
      <c r="M267" s="43" t="n"/>
      <c r="N267" s="54">
        <f>IF(AND(B267="Expected",D267="Violation",K267&lt;&gt;"",ISNUMBER(L267),ISNUMBER(H267)),L267-H267-I267,"")</f>
        <v/>
      </c>
      <c r="O267" s="43" t="n"/>
      <c r="P267" s="47" t="n"/>
      <c r="Q267" s="55">
        <f>IF(A267="","",IF(B267="Expected",IF(D267="Violation",IF(H267="","Needs start",IF(AND(K267&lt;&gt;"",OR(M267&lt;&gt;"Monitoring",Settings!$B$7="Yes"),ISNUMBER(L267),L267&lt;=J267),"TP","FN")),IF(AND(K267&lt;&gt;"",OR(M267&lt;&gt;"Monitoring",Settings!$B$7="Yes")),"FP","TN")),IF(P267="","Needs tag",IF(OR(P267="False alarm",P267="Unscripted – false alarm"),"FP",IF(P267="Duplicate","Duplicate",IF(P267="Late (real act)","Late","Excluded"))))))</f>
        <v/>
      </c>
      <c r="R267" s="47" t="n"/>
      <c r="S267" s="43" t="n"/>
      <c r="T267" s="43" t="n"/>
      <c r="U267" s="43" t="n"/>
      <c r="V267" s="47" t="n"/>
      <c r="W267" s="47" t="n"/>
      <c r="X267" s="52" t="n"/>
      <c r="Y267" s="43" t="n"/>
      <c r="Z267" s="55">
        <f>IF(OR(Y267="",Q267=""),"",IF(Y267=Q267,"OK","MISMATCH"))</f>
        <v/>
      </c>
      <c r="AA267" s="43" t="n"/>
    </row>
    <row r="268" ht="15" customHeight="1" s="35">
      <c r="A268" s="43" t="n"/>
      <c r="B268" s="47" t="n"/>
      <c r="C268" s="47" t="n"/>
      <c r="D268" s="47" t="n"/>
      <c r="E268" s="43" t="n"/>
      <c r="F268" s="52" t="n"/>
      <c r="G268" s="43" t="n"/>
      <c r="H268" s="51" t="n"/>
      <c r="I268" s="53">
        <f>IF(B268&lt;&gt;"Expected","",IF(C268="Parking Obstruction",IF(G268="Validation",Settings!$B$9,Settings!$B$8),IF(C268="Drinking",IF(G268="Validation",Settings!$B$11,Settings!$B$10),0)))</f>
        <v/>
      </c>
      <c r="J268" s="54">
        <f>IF(OR(B268&lt;&gt;"Expected",D268&lt;&gt;"Violation",H268=""),"",H268+I268+Settings!$B$5)</f>
        <v/>
      </c>
      <c r="K268" s="43" t="n"/>
      <c r="L268" s="51" t="n"/>
      <c r="M268" s="43" t="n"/>
      <c r="N268" s="54">
        <f>IF(AND(B268="Expected",D268="Violation",K268&lt;&gt;"",ISNUMBER(L268),ISNUMBER(H268)),L268-H268-I268,"")</f>
        <v/>
      </c>
      <c r="O268" s="43" t="n"/>
      <c r="P268" s="47" t="n"/>
      <c r="Q268" s="55">
        <f>IF(A268="","",IF(B268="Expected",IF(D268="Violation",IF(H268="","Needs start",IF(AND(K268&lt;&gt;"",OR(M268&lt;&gt;"Monitoring",Settings!$B$7="Yes"),ISNUMBER(L268),L268&lt;=J268),"TP","FN")),IF(AND(K268&lt;&gt;"",OR(M268&lt;&gt;"Monitoring",Settings!$B$7="Yes")),"FP","TN")),IF(P268="","Needs tag",IF(OR(P268="False alarm",P268="Unscripted – false alarm"),"FP",IF(P268="Duplicate","Duplicate",IF(P268="Late (real act)","Late","Excluded"))))))</f>
        <v/>
      </c>
      <c r="R268" s="47" t="n"/>
      <c r="S268" s="43" t="n"/>
      <c r="T268" s="43" t="n"/>
      <c r="U268" s="43" t="n"/>
      <c r="V268" s="47" t="n"/>
      <c r="W268" s="47" t="n"/>
      <c r="X268" s="52" t="n"/>
      <c r="Y268" s="43" t="n"/>
      <c r="Z268" s="55">
        <f>IF(OR(Y268="",Q268=""),"",IF(Y268=Q268,"OK","MISMATCH"))</f>
        <v/>
      </c>
      <c r="AA268" s="43" t="n"/>
    </row>
    <row r="269" ht="15" customHeight="1" s="35">
      <c r="A269" s="43" t="n"/>
      <c r="B269" s="47" t="n"/>
      <c r="C269" s="47" t="n"/>
      <c r="D269" s="47" t="n"/>
      <c r="E269" s="43" t="n"/>
      <c r="F269" s="52" t="n"/>
      <c r="G269" s="43" t="n"/>
      <c r="H269" s="51" t="n"/>
      <c r="I269" s="53">
        <f>IF(B269&lt;&gt;"Expected","",IF(C269="Parking Obstruction",IF(G269="Validation",Settings!$B$9,Settings!$B$8),IF(C269="Drinking",IF(G269="Validation",Settings!$B$11,Settings!$B$10),0)))</f>
        <v/>
      </c>
      <c r="J269" s="54">
        <f>IF(OR(B269&lt;&gt;"Expected",D269&lt;&gt;"Violation",H269=""),"",H269+I269+Settings!$B$5)</f>
        <v/>
      </c>
      <c r="K269" s="43" t="n"/>
      <c r="L269" s="51" t="n"/>
      <c r="M269" s="43" t="n"/>
      <c r="N269" s="54">
        <f>IF(AND(B269="Expected",D269="Violation",K269&lt;&gt;"",ISNUMBER(L269),ISNUMBER(H269)),L269-H269-I269,"")</f>
        <v/>
      </c>
      <c r="O269" s="43" t="n"/>
      <c r="P269" s="47" t="n"/>
      <c r="Q269" s="55">
        <f>IF(A269="","",IF(B269="Expected",IF(D269="Violation",IF(H269="","Needs start",IF(AND(K269&lt;&gt;"",OR(M269&lt;&gt;"Monitoring",Settings!$B$7="Yes"),ISNUMBER(L269),L269&lt;=J269),"TP","FN")),IF(AND(K269&lt;&gt;"",OR(M269&lt;&gt;"Monitoring",Settings!$B$7="Yes")),"FP","TN")),IF(P269="","Needs tag",IF(OR(P269="False alarm",P269="Unscripted – false alarm"),"FP",IF(P269="Duplicate","Duplicate",IF(P269="Late (real act)","Late","Excluded"))))))</f>
        <v/>
      </c>
      <c r="R269" s="47" t="n"/>
      <c r="S269" s="43" t="n"/>
      <c r="T269" s="43" t="n"/>
      <c r="U269" s="43" t="n"/>
      <c r="V269" s="47" t="n"/>
      <c r="W269" s="47" t="n"/>
      <c r="X269" s="52" t="n"/>
      <c r="Y269" s="43" t="n"/>
      <c r="Z269" s="55">
        <f>IF(OR(Y269="",Q269=""),"",IF(Y269=Q269,"OK","MISMATCH"))</f>
        <v/>
      </c>
      <c r="AA269" s="43" t="n"/>
    </row>
    <row r="270" ht="15" customHeight="1" s="35">
      <c r="A270" s="43" t="n"/>
      <c r="B270" s="47" t="n"/>
      <c r="C270" s="47" t="n"/>
      <c r="D270" s="47" t="n"/>
      <c r="E270" s="43" t="n"/>
      <c r="F270" s="52" t="n"/>
      <c r="G270" s="43" t="n"/>
      <c r="H270" s="51" t="n"/>
      <c r="I270" s="53">
        <f>IF(B270&lt;&gt;"Expected","",IF(C270="Parking Obstruction",IF(G270="Validation",Settings!$B$9,Settings!$B$8),IF(C270="Drinking",IF(G270="Validation",Settings!$B$11,Settings!$B$10),0)))</f>
        <v/>
      </c>
      <c r="J270" s="54">
        <f>IF(OR(B270&lt;&gt;"Expected",D270&lt;&gt;"Violation",H270=""),"",H270+I270+Settings!$B$5)</f>
        <v/>
      </c>
      <c r="K270" s="43" t="n"/>
      <c r="L270" s="51" t="n"/>
      <c r="M270" s="43" t="n"/>
      <c r="N270" s="54">
        <f>IF(AND(B270="Expected",D270="Violation",K270&lt;&gt;"",ISNUMBER(L270),ISNUMBER(H270)),L270-H270-I270,"")</f>
        <v/>
      </c>
      <c r="O270" s="43" t="n"/>
      <c r="P270" s="47" t="n"/>
      <c r="Q270" s="55">
        <f>IF(A270="","",IF(B270="Expected",IF(D270="Violation",IF(H270="","Needs start",IF(AND(K270&lt;&gt;"",OR(M270&lt;&gt;"Monitoring",Settings!$B$7="Yes"),ISNUMBER(L270),L270&lt;=J270),"TP","FN")),IF(AND(K270&lt;&gt;"",OR(M270&lt;&gt;"Monitoring",Settings!$B$7="Yes")),"FP","TN")),IF(P270="","Needs tag",IF(OR(P270="False alarm",P270="Unscripted – false alarm"),"FP",IF(P270="Duplicate","Duplicate",IF(P270="Late (real act)","Late","Excluded"))))))</f>
        <v/>
      </c>
      <c r="R270" s="47" t="n"/>
      <c r="S270" s="43" t="n"/>
      <c r="T270" s="43" t="n"/>
      <c r="U270" s="43" t="n"/>
      <c r="V270" s="47" t="n"/>
      <c r="W270" s="47" t="n"/>
      <c r="X270" s="52" t="n"/>
      <c r="Y270" s="43" t="n"/>
      <c r="Z270" s="55">
        <f>IF(OR(Y270="",Q270=""),"",IF(Y270=Q270,"OK","MISMATCH"))</f>
        <v/>
      </c>
      <c r="AA270" s="43" t="n"/>
    </row>
    <row r="271" ht="15" customHeight="1" s="35">
      <c r="A271" s="43" t="n"/>
      <c r="B271" s="47" t="n"/>
      <c r="C271" s="47" t="n"/>
      <c r="D271" s="47" t="n"/>
      <c r="E271" s="43" t="n"/>
      <c r="F271" s="52" t="n"/>
      <c r="G271" s="43" t="n"/>
      <c r="H271" s="51" t="n"/>
      <c r="I271" s="53">
        <f>IF(B271&lt;&gt;"Expected","",IF(C271="Parking Obstruction",IF(G271="Validation",Settings!$B$9,Settings!$B$8),IF(C271="Drinking",IF(G271="Validation",Settings!$B$11,Settings!$B$10),0)))</f>
        <v/>
      </c>
      <c r="J271" s="54">
        <f>IF(OR(B271&lt;&gt;"Expected",D271&lt;&gt;"Violation",H271=""),"",H271+I271+Settings!$B$5)</f>
        <v/>
      </c>
      <c r="K271" s="43" t="n"/>
      <c r="L271" s="51" t="n"/>
      <c r="M271" s="43" t="n"/>
      <c r="N271" s="54">
        <f>IF(AND(B271="Expected",D271="Violation",K271&lt;&gt;"",ISNUMBER(L271),ISNUMBER(H271)),L271-H271-I271,"")</f>
        <v/>
      </c>
      <c r="O271" s="43" t="n"/>
      <c r="P271" s="47" t="n"/>
      <c r="Q271" s="55">
        <f>IF(A271="","",IF(B271="Expected",IF(D271="Violation",IF(H271="","Needs start",IF(AND(K271&lt;&gt;"",OR(M271&lt;&gt;"Monitoring",Settings!$B$7="Yes"),ISNUMBER(L271),L271&lt;=J271),"TP","FN")),IF(AND(K271&lt;&gt;"",OR(M271&lt;&gt;"Monitoring",Settings!$B$7="Yes")),"FP","TN")),IF(P271="","Needs tag",IF(OR(P271="False alarm",P271="Unscripted – false alarm"),"FP",IF(P271="Duplicate","Duplicate",IF(P271="Late (real act)","Late","Excluded"))))))</f>
        <v/>
      </c>
      <c r="R271" s="47" t="n"/>
      <c r="S271" s="43" t="n"/>
      <c r="T271" s="43" t="n"/>
      <c r="U271" s="43" t="n"/>
      <c r="V271" s="47" t="n"/>
      <c r="W271" s="47" t="n"/>
      <c r="X271" s="52" t="n"/>
      <c r="Y271" s="43" t="n"/>
      <c r="Z271" s="55">
        <f>IF(OR(Y271="",Q271=""),"",IF(Y271=Q271,"OK","MISMATCH"))</f>
        <v/>
      </c>
      <c r="AA271" s="43" t="n"/>
    </row>
    <row r="272" ht="15" customHeight="1" s="35">
      <c r="A272" s="43" t="n"/>
      <c r="B272" s="47" t="n"/>
      <c r="C272" s="47" t="n"/>
      <c r="D272" s="47" t="n"/>
      <c r="E272" s="43" t="n"/>
      <c r="F272" s="52" t="n"/>
      <c r="G272" s="43" t="n"/>
      <c r="H272" s="51" t="n"/>
      <c r="I272" s="53">
        <f>IF(B272&lt;&gt;"Expected","",IF(C272="Parking Obstruction",IF(G272="Validation",Settings!$B$9,Settings!$B$8),IF(C272="Drinking",IF(G272="Validation",Settings!$B$11,Settings!$B$10),0)))</f>
        <v/>
      </c>
      <c r="J272" s="54">
        <f>IF(OR(B272&lt;&gt;"Expected",D272&lt;&gt;"Violation",H272=""),"",H272+I272+Settings!$B$5)</f>
        <v/>
      </c>
      <c r="K272" s="43" t="n"/>
      <c r="L272" s="51" t="n"/>
      <c r="M272" s="43" t="n"/>
      <c r="N272" s="54">
        <f>IF(AND(B272="Expected",D272="Violation",K272&lt;&gt;"",ISNUMBER(L272),ISNUMBER(H272)),L272-H272-I272,"")</f>
        <v/>
      </c>
      <c r="O272" s="43" t="n"/>
      <c r="P272" s="47" t="n"/>
      <c r="Q272" s="55">
        <f>IF(A272="","",IF(B272="Expected",IF(D272="Violation",IF(H272="","Needs start",IF(AND(K272&lt;&gt;"",OR(M272&lt;&gt;"Monitoring",Settings!$B$7="Yes"),ISNUMBER(L272),L272&lt;=J272),"TP","FN")),IF(AND(K272&lt;&gt;"",OR(M272&lt;&gt;"Monitoring",Settings!$B$7="Yes")),"FP","TN")),IF(P272="","Needs tag",IF(OR(P272="False alarm",P272="Unscripted – false alarm"),"FP",IF(P272="Duplicate","Duplicate",IF(P272="Late (real act)","Late","Excluded"))))))</f>
        <v/>
      </c>
      <c r="R272" s="47" t="n"/>
      <c r="S272" s="43" t="n"/>
      <c r="T272" s="43" t="n"/>
      <c r="U272" s="43" t="n"/>
      <c r="V272" s="47" t="n"/>
      <c r="W272" s="47" t="n"/>
      <c r="X272" s="52" t="n"/>
      <c r="Y272" s="43" t="n"/>
      <c r="Z272" s="55">
        <f>IF(OR(Y272="",Q272=""),"",IF(Y272=Q272,"OK","MISMATCH"))</f>
        <v/>
      </c>
      <c r="AA272" s="43" t="n"/>
    </row>
    <row r="273" ht="15" customHeight="1" s="35">
      <c r="A273" s="43" t="n"/>
      <c r="B273" s="47" t="n"/>
      <c r="C273" s="47" t="n"/>
      <c r="D273" s="47" t="n"/>
      <c r="E273" s="43" t="n"/>
      <c r="F273" s="52" t="n"/>
      <c r="G273" s="43" t="n"/>
      <c r="H273" s="51" t="n"/>
      <c r="I273" s="53">
        <f>IF(B273&lt;&gt;"Expected","",IF(C273="Parking Obstruction",IF(G273="Validation",Settings!$B$9,Settings!$B$8),IF(C273="Drinking",IF(G273="Validation",Settings!$B$11,Settings!$B$10),0)))</f>
        <v/>
      </c>
      <c r="J273" s="54">
        <f>IF(OR(B273&lt;&gt;"Expected",D273&lt;&gt;"Violation",H273=""),"",H273+I273+Settings!$B$5)</f>
        <v/>
      </c>
      <c r="K273" s="43" t="n"/>
      <c r="L273" s="51" t="n"/>
      <c r="M273" s="43" t="n"/>
      <c r="N273" s="54">
        <f>IF(AND(B273="Expected",D273="Violation",K273&lt;&gt;"",ISNUMBER(L273),ISNUMBER(H273)),L273-H273-I273,"")</f>
        <v/>
      </c>
      <c r="O273" s="43" t="n"/>
      <c r="P273" s="47" t="n"/>
      <c r="Q273" s="55">
        <f>IF(A273="","",IF(B273="Expected",IF(D273="Violation",IF(H273="","Needs start",IF(AND(K273&lt;&gt;"",OR(M273&lt;&gt;"Monitoring",Settings!$B$7="Yes"),ISNUMBER(L273),L273&lt;=J273),"TP","FN")),IF(AND(K273&lt;&gt;"",OR(M273&lt;&gt;"Monitoring",Settings!$B$7="Yes")),"FP","TN")),IF(P273="","Needs tag",IF(OR(P273="False alarm",P273="Unscripted – false alarm"),"FP",IF(P273="Duplicate","Duplicate",IF(P273="Late (real act)","Late","Excluded"))))))</f>
        <v/>
      </c>
      <c r="R273" s="47" t="n"/>
      <c r="S273" s="43" t="n"/>
      <c r="T273" s="43" t="n"/>
      <c r="U273" s="43" t="n"/>
      <c r="V273" s="47" t="n"/>
      <c r="W273" s="47" t="n"/>
      <c r="X273" s="52" t="n"/>
      <c r="Y273" s="43" t="n"/>
      <c r="Z273" s="55">
        <f>IF(OR(Y273="",Q273=""),"",IF(Y273=Q273,"OK","MISMATCH"))</f>
        <v/>
      </c>
      <c r="AA273" s="43" t="n"/>
    </row>
    <row r="274" ht="15" customHeight="1" s="35">
      <c r="A274" s="43" t="n"/>
      <c r="B274" s="47" t="n"/>
      <c r="C274" s="47" t="n"/>
      <c r="D274" s="47" t="n"/>
      <c r="E274" s="43" t="n"/>
      <c r="F274" s="52" t="n"/>
      <c r="G274" s="43" t="n"/>
      <c r="H274" s="51" t="n"/>
      <c r="I274" s="53">
        <f>IF(B274&lt;&gt;"Expected","",IF(C274="Parking Obstruction",IF(G274="Validation",Settings!$B$9,Settings!$B$8),IF(C274="Drinking",IF(G274="Validation",Settings!$B$11,Settings!$B$10),0)))</f>
        <v/>
      </c>
      <c r="J274" s="54">
        <f>IF(OR(B274&lt;&gt;"Expected",D274&lt;&gt;"Violation",H274=""),"",H274+I274+Settings!$B$5)</f>
        <v/>
      </c>
      <c r="K274" s="43" t="n"/>
      <c r="L274" s="51" t="n"/>
      <c r="M274" s="43" t="n"/>
      <c r="N274" s="54">
        <f>IF(AND(B274="Expected",D274="Violation",K274&lt;&gt;"",ISNUMBER(L274),ISNUMBER(H274)),L274-H274-I274,"")</f>
        <v/>
      </c>
      <c r="O274" s="43" t="n"/>
      <c r="P274" s="47" t="n"/>
      <c r="Q274" s="55">
        <f>IF(A274="","",IF(B274="Expected",IF(D274="Violation",IF(H274="","Needs start",IF(AND(K274&lt;&gt;"",OR(M274&lt;&gt;"Monitoring",Settings!$B$7="Yes"),ISNUMBER(L274),L274&lt;=J274),"TP","FN")),IF(AND(K274&lt;&gt;"",OR(M274&lt;&gt;"Monitoring",Settings!$B$7="Yes")),"FP","TN")),IF(P274="","Needs tag",IF(OR(P274="False alarm",P274="Unscripted – false alarm"),"FP",IF(P274="Duplicate","Duplicate",IF(P274="Late (real act)","Late","Excluded"))))))</f>
        <v/>
      </c>
      <c r="R274" s="47" t="n"/>
      <c r="S274" s="43" t="n"/>
      <c r="T274" s="43" t="n"/>
      <c r="U274" s="43" t="n"/>
      <c r="V274" s="47" t="n"/>
      <c r="W274" s="47" t="n"/>
      <c r="X274" s="52" t="n"/>
      <c r="Y274" s="43" t="n"/>
      <c r="Z274" s="55">
        <f>IF(OR(Y274="",Q274=""),"",IF(Y274=Q274,"OK","MISMATCH"))</f>
        <v/>
      </c>
      <c r="AA274" s="43" t="n"/>
    </row>
    <row r="275" ht="15" customHeight="1" s="35">
      <c r="A275" s="43" t="n"/>
      <c r="B275" s="47" t="n"/>
      <c r="C275" s="47" t="n"/>
      <c r="D275" s="47" t="n"/>
      <c r="E275" s="43" t="n"/>
      <c r="F275" s="52" t="n"/>
      <c r="G275" s="43" t="n"/>
      <c r="H275" s="51" t="n"/>
      <c r="I275" s="53">
        <f>IF(B275&lt;&gt;"Expected","",IF(C275="Parking Obstruction",IF(G275="Validation",Settings!$B$9,Settings!$B$8),IF(C275="Drinking",IF(G275="Validation",Settings!$B$11,Settings!$B$10),0)))</f>
        <v/>
      </c>
      <c r="J275" s="54">
        <f>IF(OR(B275&lt;&gt;"Expected",D275&lt;&gt;"Violation",H275=""),"",H275+I275+Settings!$B$5)</f>
        <v/>
      </c>
      <c r="K275" s="43" t="n"/>
      <c r="L275" s="51" t="n"/>
      <c r="M275" s="43" t="n"/>
      <c r="N275" s="54">
        <f>IF(AND(B275="Expected",D275="Violation",K275&lt;&gt;"",ISNUMBER(L275),ISNUMBER(H275)),L275-H275-I275,"")</f>
        <v/>
      </c>
      <c r="O275" s="43" t="n"/>
      <c r="P275" s="47" t="n"/>
      <c r="Q275" s="55">
        <f>IF(A275="","",IF(B275="Expected",IF(D275="Violation",IF(H275="","Needs start",IF(AND(K275&lt;&gt;"",OR(M275&lt;&gt;"Monitoring",Settings!$B$7="Yes"),ISNUMBER(L275),L275&lt;=J275),"TP","FN")),IF(AND(K275&lt;&gt;"",OR(M275&lt;&gt;"Monitoring",Settings!$B$7="Yes")),"FP","TN")),IF(P275="","Needs tag",IF(OR(P275="False alarm",P275="Unscripted – false alarm"),"FP",IF(P275="Duplicate","Duplicate",IF(P275="Late (real act)","Late","Excluded"))))))</f>
        <v/>
      </c>
      <c r="R275" s="47" t="n"/>
      <c r="S275" s="43" t="n"/>
      <c r="T275" s="43" t="n"/>
      <c r="U275" s="43" t="n"/>
      <c r="V275" s="47" t="n"/>
      <c r="W275" s="47" t="n"/>
      <c r="X275" s="52" t="n"/>
      <c r="Y275" s="43" t="n"/>
      <c r="Z275" s="55">
        <f>IF(OR(Y275="",Q275=""),"",IF(Y275=Q275,"OK","MISMATCH"))</f>
        <v/>
      </c>
      <c r="AA275" s="43" t="n"/>
    </row>
    <row r="276" ht="15" customHeight="1" s="35">
      <c r="A276" s="43" t="n"/>
      <c r="B276" s="47" t="n"/>
      <c r="C276" s="47" t="n"/>
      <c r="D276" s="47" t="n"/>
      <c r="E276" s="43" t="n"/>
      <c r="F276" s="52" t="n"/>
      <c r="G276" s="43" t="n"/>
      <c r="H276" s="51" t="n"/>
      <c r="I276" s="53">
        <f>IF(B276&lt;&gt;"Expected","",IF(C276="Parking Obstruction",IF(G276="Validation",Settings!$B$9,Settings!$B$8),IF(C276="Drinking",IF(G276="Validation",Settings!$B$11,Settings!$B$10),0)))</f>
        <v/>
      </c>
      <c r="J276" s="54">
        <f>IF(OR(B276&lt;&gt;"Expected",D276&lt;&gt;"Violation",H276=""),"",H276+I276+Settings!$B$5)</f>
        <v/>
      </c>
      <c r="K276" s="43" t="n"/>
      <c r="L276" s="51" t="n"/>
      <c r="M276" s="43" t="n"/>
      <c r="N276" s="54">
        <f>IF(AND(B276="Expected",D276="Violation",K276&lt;&gt;"",ISNUMBER(L276),ISNUMBER(H276)),L276-H276-I276,"")</f>
        <v/>
      </c>
      <c r="O276" s="43" t="n"/>
      <c r="P276" s="47" t="n"/>
      <c r="Q276" s="55">
        <f>IF(A276="","",IF(B276="Expected",IF(D276="Violation",IF(H276="","Needs start",IF(AND(K276&lt;&gt;"",OR(M276&lt;&gt;"Monitoring",Settings!$B$7="Yes"),ISNUMBER(L276),L276&lt;=J276),"TP","FN")),IF(AND(K276&lt;&gt;"",OR(M276&lt;&gt;"Monitoring",Settings!$B$7="Yes")),"FP","TN")),IF(P276="","Needs tag",IF(OR(P276="False alarm",P276="Unscripted – false alarm"),"FP",IF(P276="Duplicate","Duplicate",IF(P276="Late (real act)","Late","Excluded"))))))</f>
        <v/>
      </c>
      <c r="R276" s="47" t="n"/>
      <c r="S276" s="43" t="n"/>
      <c r="T276" s="43" t="n"/>
      <c r="U276" s="43" t="n"/>
      <c r="V276" s="47" t="n"/>
      <c r="W276" s="47" t="n"/>
      <c r="X276" s="52" t="n"/>
      <c r="Y276" s="43" t="n"/>
      <c r="Z276" s="55">
        <f>IF(OR(Y276="",Q276=""),"",IF(Y276=Q276,"OK","MISMATCH"))</f>
        <v/>
      </c>
      <c r="AA276" s="43" t="n"/>
    </row>
    <row r="277" ht="15" customHeight="1" s="35">
      <c r="A277" s="43" t="n"/>
      <c r="B277" s="47" t="n"/>
      <c r="C277" s="47" t="n"/>
      <c r="D277" s="47" t="n"/>
      <c r="E277" s="43" t="n"/>
      <c r="F277" s="52" t="n"/>
      <c r="G277" s="43" t="n"/>
      <c r="H277" s="51" t="n"/>
      <c r="I277" s="53">
        <f>IF(B277&lt;&gt;"Expected","",IF(C277="Parking Obstruction",IF(G277="Validation",Settings!$B$9,Settings!$B$8),IF(C277="Drinking",IF(G277="Validation",Settings!$B$11,Settings!$B$10),0)))</f>
        <v/>
      </c>
      <c r="J277" s="54">
        <f>IF(OR(B277&lt;&gt;"Expected",D277&lt;&gt;"Violation",H277=""),"",H277+I277+Settings!$B$5)</f>
        <v/>
      </c>
      <c r="K277" s="43" t="n"/>
      <c r="L277" s="51" t="n"/>
      <c r="M277" s="43" t="n"/>
      <c r="N277" s="54">
        <f>IF(AND(B277="Expected",D277="Violation",K277&lt;&gt;"",ISNUMBER(L277),ISNUMBER(H277)),L277-H277-I277,"")</f>
        <v/>
      </c>
      <c r="O277" s="43" t="n"/>
      <c r="P277" s="47" t="n"/>
      <c r="Q277" s="55">
        <f>IF(A277="","",IF(B277="Expected",IF(D277="Violation",IF(H277="","Needs start",IF(AND(K277&lt;&gt;"",OR(M277&lt;&gt;"Monitoring",Settings!$B$7="Yes"),ISNUMBER(L277),L277&lt;=J277),"TP","FN")),IF(AND(K277&lt;&gt;"",OR(M277&lt;&gt;"Monitoring",Settings!$B$7="Yes")),"FP","TN")),IF(P277="","Needs tag",IF(OR(P277="False alarm",P277="Unscripted – false alarm"),"FP",IF(P277="Duplicate","Duplicate",IF(P277="Late (real act)","Late","Excluded"))))))</f>
        <v/>
      </c>
      <c r="R277" s="47" t="n"/>
      <c r="S277" s="43" t="n"/>
      <c r="T277" s="43" t="n"/>
      <c r="U277" s="43" t="n"/>
      <c r="V277" s="47" t="n"/>
      <c r="W277" s="47" t="n"/>
      <c r="X277" s="52" t="n"/>
      <c r="Y277" s="43" t="n"/>
      <c r="Z277" s="55">
        <f>IF(OR(Y277="",Q277=""),"",IF(Y277=Q277,"OK","MISMATCH"))</f>
        <v/>
      </c>
      <c r="AA277" s="43" t="n"/>
    </row>
    <row r="278" ht="15" customHeight="1" s="35">
      <c r="A278" s="43" t="n"/>
      <c r="B278" s="47" t="n"/>
      <c r="C278" s="47" t="n"/>
      <c r="D278" s="47" t="n"/>
      <c r="E278" s="43" t="n"/>
      <c r="F278" s="52" t="n"/>
      <c r="G278" s="43" t="n"/>
      <c r="H278" s="51" t="n"/>
      <c r="I278" s="53">
        <f>IF(B278&lt;&gt;"Expected","",IF(C278="Parking Obstruction",IF(G278="Validation",Settings!$B$9,Settings!$B$8),IF(C278="Drinking",IF(G278="Validation",Settings!$B$11,Settings!$B$10),0)))</f>
        <v/>
      </c>
      <c r="J278" s="54">
        <f>IF(OR(B278&lt;&gt;"Expected",D278&lt;&gt;"Violation",H278=""),"",H278+I278+Settings!$B$5)</f>
        <v/>
      </c>
      <c r="K278" s="43" t="n"/>
      <c r="L278" s="51" t="n"/>
      <c r="M278" s="43" t="n"/>
      <c r="N278" s="54">
        <f>IF(AND(B278="Expected",D278="Violation",K278&lt;&gt;"",ISNUMBER(L278),ISNUMBER(H278)),L278-H278-I278,"")</f>
        <v/>
      </c>
      <c r="O278" s="43" t="n"/>
      <c r="P278" s="47" t="n"/>
      <c r="Q278" s="55">
        <f>IF(A278="","",IF(B278="Expected",IF(D278="Violation",IF(H278="","Needs start",IF(AND(K278&lt;&gt;"",OR(M278&lt;&gt;"Monitoring",Settings!$B$7="Yes"),ISNUMBER(L278),L278&lt;=J278),"TP","FN")),IF(AND(K278&lt;&gt;"",OR(M278&lt;&gt;"Monitoring",Settings!$B$7="Yes")),"FP","TN")),IF(P278="","Needs tag",IF(OR(P278="False alarm",P278="Unscripted – false alarm"),"FP",IF(P278="Duplicate","Duplicate",IF(P278="Late (real act)","Late","Excluded"))))))</f>
        <v/>
      </c>
      <c r="R278" s="47" t="n"/>
      <c r="S278" s="43" t="n"/>
      <c r="T278" s="43" t="n"/>
      <c r="U278" s="43" t="n"/>
      <c r="V278" s="47" t="n"/>
      <c r="W278" s="47" t="n"/>
      <c r="X278" s="52" t="n"/>
      <c r="Y278" s="43" t="n"/>
      <c r="Z278" s="55">
        <f>IF(OR(Y278="",Q278=""),"",IF(Y278=Q278,"OK","MISMATCH"))</f>
        <v/>
      </c>
      <c r="AA278" s="43" t="n"/>
    </row>
    <row r="279" ht="15" customHeight="1" s="35">
      <c r="A279" s="43" t="n"/>
      <c r="B279" s="47" t="n"/>
      <c r="C279" s="47" t="n"/>
      <c r="D279" s="47" t="n"/>
      <c r="E279" s="43" t="n"/>
      <c r="F279" s="52" t="n"/>
      <c r="G279" s="43" t="n"/>
      <c r="H279" s="51" t="n"/>
      <c r="I279" s="53">
        <f>IF(B279&lt;&gt;"Expected","",IF(C279="Parking Obstruction",IF(G279="Validation",Settings!$B$9,Settings!$B$8),IF(C279="Drinking",IF(G279="Validation",Settings!$B$11,Settings!$B$10),0)))</f>
        <v/>
      </c>
      <c r="J279" s="54">
        <f>IF(OR(B279&lt;&gt;"Expected",D279&lt;&gt;"Violation",H279=""),"",H279+I279+Settings!$B$5)</f>
        <v/>
      </c>
      <c r="K279" s="43" t="n"/>
      <c r="L279" s="51" t="n"/>
      <c r="M279" s="43" t="n"/>
      <c r="N279" s="54">
        <f>IF(AND(B279="Expected",D279="Violation",K279&lt;&gt;"",ISNUMBER(L279),ISNUMBER(H279)),L279-H279-I279,"")</f>
        <v/>
      </c>
      <c r="O279" s="43" t="n"/>
      <c r="P279" s="47" t="n"/>
      <c r="Q279" s="55">
        <f>IF(A279="","",IF(B279="Expected",IF(D279="Violation",IF(H279="","Needs start",IF(AND(K279&lt;&gt;"",OR(M279&lt;&gt;"Monitoring",Settings!$B$7="Yes"),ISNUMBER(L279),L279&lt;=J279),"TP","FN")),IF(AND(K279&lt;&gt;"",OR(M279&lt;&gt;"Monitoring",Settings!$B$7="Yes")),"FP","TN")),IF(P279="","Needs tag",IF(OR(P279="False alarm",P279="Unscripted – false alarm"),"FP",IF(P279="Duplicate","Duplicate",IF(P279="Late (real act)","Late","Excluded"))))))</f>
        <v/>
      </c>
      <c r="R279" s="47" t="n"/>
      <c r="S279" s="43" t="n"/>
      <c r="T279" s="43" t="n"/>
      <c r="U279" s="43" t="n"/>
      <c r="V279" s="47" t="n"/>
      <c r="W279" s="47" t="n"/>
      <c r="X279" s="52" t="n"/>
      <c r="Y279" s="43" t="n"/>
      <c r="Z279" s="55">
        <f>IF(OR(Y279="",Q279=""),"",IF(Y279=Q279,"OK","MISMATCH"))</f>
        <v/>
      </c>
      <c r="AA279" s="43" t="n"/>
    </row>
    <row r="280" ht="15" customHeight="1" s="35">
      <c r="A280" s="43" t="n"/>
      <c r="B280" s="47" t="n"/>
      <c r="C280" s="47" t="n"/>
      <c r="D280" s="47" t="n"/>
      <c r="E280" s="43" t="n"/>
      <c r="F280" s="52" t="n"/>
      <c r="G280" s="43" t="n"/>
      <c r="H280" s="51" t="n"/>
      <c r="I280" s="53">
        <f>IF(B280&lt;&gt;"Expected","",IF(C280="Parking Obstruction",IF(G280="Validation",Settings!$B$9,Settings!$B$8),IF(C280="Drinking",IF(G280="Validation",Settings!$B$11,Settings!$B$10),0)))</f>
        <v/>
      </c>
      <c r="J280" s="54">
        <f>IF(OR(B280&lt;&gt;"Expected",D280&lt;&gt;"Violation",H280=""),"",H280+I280+Settings!$B$5)</f>
        <v/>
      </c>
      <c r="K280" s="43" t="n"/>
      <c r="L280" s="51" t="n"/>
      <c r="M280" s="43" t="n"/>
      <c r="N280" s="54">
        <f>IF(AND(B280="Expected",D280="Violation",K280&lt;&gt;"",ISNUMBER(L280),ISNUMBER(H280)),L280-H280-I280,"")</f>
        <v/>
      </c>
      <c r="O280" s="43" t="n"/>
      <c r="P280" s="47" t="n"/>
      <c r="Q280" s="55">
        <f>IF(A280="","",IF(B280="Expected",IF(D280="Violation",IF(H280="","Needs start",IF(AND(K280&lt;&gt;"",OR(M280&lt;&gt;"Monitoring",Settings!$B$7="Yes"),ISNUMBER(L280),L280&lt;=J280),"TP","FN")),IF(AND(K280&lt;&gt;"",OR(M280&lt;&gt;"Monitoring",Settings!$B$7="Yes")),"FP","TN")),IF(P280="","Needs tag",IF(OR(P280="False alarm",P280="Unscripted – false alarm"),"FP",IF(P280="Duplicate","Duplicate",IF(P280="Late (real act)","Late","Excluded"))))))</f>
        <v/>
      </c>
      <c r="R280" s="47" t="n"/>
      <c r="S280" s="43" t="n"/>
      <c r="T280" s="43" t="n"/>
      <c r="U280" s="43" t="n"/>
      <c r="V280" s="47" t="n"/>
      <c r="W280" s="47" t="n"/>
      <c r="X280" s="52" t="n"/>
      <c r="Y280" s="43" t="n"/>
      <c r="Z280" s="55">
        <f>IF(OR(Y280="",Q280=""),"",IF(Y280=Q280,"OK","MISMATCH"))</f>
        <v/>
      </c>
      <c r="AA280" s="43" t="n"/>
    </row>
    <row r="281" ht="15" customHeight="1" s="35">
      <c r="A281" s="43" t="n"/>
      <c r="B281" s="47" t="n"/>
      <c r="C281" s="47" t="n"/>
      <c r="D281" s="47" t="n"/>
      <c r="E281" s="43" t="n"/>
      <c r="F281" s="52" t="n"/>
      <c r="G281" s="43" t="n"/>
      <c r="H281" s="51" t="n"/>
      <c r="I281" s="53">
        <f>IF(B281&lt;&gt;"Expected","",IF(C281="Parking Obstruction",IF(G281="Validation",Settings!$B$9,Settings!$B$8),IF(C281="Drinking",IF(G281="Validation",Settings!$B$11,Settings!$B$10),0)))</f>
        <v/>
      </c>
      <c r="J281" s="54">
        <f>IF(OR(B281&lt;&gt;"Expected",D281&lt;&gt;"Violation",H281=""),"",H281+I281+Settings!$B$5)</f>
        <v/>
      </c>
      <c r="K281" s="43" t="n"/>
      <c r="L281" s="51" t="n"/>
      <c r="M281" s="43" t="n"/>
      <c r="N281" s="54">
        <f>IF(AND(B281="Expected",D281="Violation",K281&lt;&gt;"",ISNUMBER(L281),ISNUMBER(H281)),L281-H281-I281,"")</f>
        <v/>
      </c>
      <c r="O281" s="43" t="n"/>
      <c r="P281" s="47" t="n"/>
      <c r="Q281" s="55">
        <f>IF(A281="","",IF(B281="Expected",IF(D281="Violation",IF(H281="","Needs start",IF(AND(K281&lt;&gt;"",OR(M281&lt;&gt;"Monitoring",Settings!$B$7="Yes"),ISNUMBER(L281),L281&lt;=J281),"TP","FN")),IF(AND(K281&lt;&gt;"",OR(M281&lt;&gt;"Monitoring",Settings!$B$7="Yes")),"FP","TN")),IF(P281="","Needs tag",IF(OR(P281="False alarm",P281="Unscripted – false alarm"),"FP",IF(P281="Duplicate","Duplicate",IF(P281="Late (real act)","Late","Excluded"))))))</f>
        <v/>
      </c>
      <c r="R281" s="47" t="n"/>
      <c r="S281" s="43" t="n"/>
      <c r="T281" s="43" t="n"/>
      <c r="U281" s="43" t="n"/>
      <c r="V281" s="47" t="n"/>
      <c r="W281" s="47" t="n"/>
      <c r="X281" s="52" t="n"/>
      <c r="Y281" s="43" t="n"/>
      <c r="Z281" s="55">
        <f>IF(OR(Y281="",Q281=""),"",IF(Y281=Q281,"OK","MISMATCH"))</f>
        <v/>
      </c>
      <c r="AA281" s="43" t="n"/>
    </row>
    <row r="282" ht="15" customHeight="1" s="35">
      <c r="A282" s="43" t="n"/>
      <c r="B282" s="47" t="n"/>
      <c r="C282" s="47" t="n"/>
      <c r="D282" s="47" t="n"/>
      <c r="E282" s="43" t="n"/>
      <c r="F282" s="52" t="n"/>
      <c r="G282" s="43" t="n"/>
      <c r="H282" s="51" t="n"/>
      <c r="I282" s="53">
        <f>IF(B282&lt;&gt;"Expected","",IF(C282="Parking Obstruction",IF(G282="Validation",Settings!$B$9,Settings!$B$8),IF(C282="Drinking",IF(G282="Validation",Settings!$B$11,Settings!$B$10),0)))</f>
        <v/>
      </c>
      <c r="J282" s="54">
        <f>IF(OR(B282&lt;&gt;"Expected",D282&lt;&gt;"Violation",H282=""),"",H282+I282+Settings!$B$5)</f>
        <v/>
      </c>
      <c r="K282" s="43" t="n"/>
      <c r="L282" s="51" t="n"/>
      <c r="M282" s="43" t="n"/>
      <c r="N282" s="54">
        <f>IF(AND(B282="Expected",D282="Violation",K282&lt;&gt;"",ISNUMBER(L282),ISNUMBER(H282)),L282-H282-I282,"")</f>
        <v/>
      </c>
      <c r="O282" s="43" t="n"/>
      <c r="P282" s="47" t="n"/>
      <c r="Q282" s="55">
        <f>IF(A282="","",IF(B282="Expected",IF(D282="Violation",IF(H282="","Needs start",IF(AND(K282&lt;&gt;"",OR(M282&lt;&gt;"Monitoring",Settings!$B$7="Yes"),ISNUMBER(L282),L282&lt;=J282),"TP","FN")),IF(AND(K282&lt;&gt;"",OR(M282&lt;&gt;"Monitoring",Settings!$B$7="Yes")),"FP","TN")),IF(P282="","Needs tag",IF(OR(P282="False alarm",P282="Unscripted – false alarm"),"FP",IF(P282="Duplicate","Duplicate",IF(P282="Late (real act)","Late","Excluded"))))))</f>
        <v/>
      </c>
      <c r="R282" s="47" t="n"/>
      <c r="S282" s="43" t="n"/>
      <c r="T282" s="43" t="n"/>
      <c r="U282" s="43" t="n"/>
      <c r="V282" s="47" t="n"/>
      <c r="W282" s="47" t="n"/>
      <c r="X282" s="52" t="n"/>
      <c r="Y282" s="43" t="n"/>
      <c r="Z282" s="55">
        <f>IF(OR(Y282="",Q282=""),"",IF(Y282=Q282,"OK","MISMATCH"))</f>
        <v/>
      </c>
      <c r="AA282" s="43" t="n"/>
    </row>
    <row r="283" ht="15" customHeight="1" s="35">
      <c r="A283" s="43" t="n"/>
      <c r="B283" s="47" t="n"/>
      <c r="C283" s="47" t="n"/>
      <c r="D283" s="47" t="n"/>
      <c r="E283" s="43" t="n"/>
      <c r="F283" s="52" t="n"/>
      <c r="G283" s="43" t="n"/>
      <c r="H283" s="51" t="n"/>
      <c r="I283" s="53">
        <f>IF(B283&lt;&gt;"Expected","",IF(C283="Parking Obstruction",IF(G283="Validation",Settings!$B$9,Settings!$B$8),IF(C283="Drinking",IF(G283="Validation",Settings!$B$11,Settings!$B$10),0)))</f>
        <v/>
      </c>
      <c r="J283" s="54">
        <f>IF(OR(B283&lt;&gt;"Expected",D283&lt;&gt;"Violation",H283=""),"",H283+I283+Settings!$B$5)</f>
        <v/>
      </c>
      <c r="K283" s="43" t="n"/>
      <c r="L283" s="51" t="n"/>
      <c r="M283" s="43" t="n"/>
      <c r="N283" s="54">
        <f>IF(AND(B283="Expected",D283="Violation",K283&lt;&gt;"",ISNUMBER(L283),ISNUMBER(H283)),L283-H283-I283,"")</f>
        <v/>
      </c>
      <c r="O283" s="43" t="n"/>
      <c r="P283" s="47" t="n"/>
      <c r="Q283" s="55">
        <f>IF(A283="","",IF(B283="Expected",IF(D283="Violation",IF(H283="","Needs start",IF(AND(K283&lt;&gt;"",OR(M283&lt;&gt;"Monitoring",Settings!$B$7="Yes"),ISNUMBER(L283),L283&lt;=J283),"TP","FN")),IF(AND(K283&lt;&gt;"",OR(M283&lt;&gt;"Monitoring",Settings!$B$7="Yes")),"FP","TN")),IF(P283="","Needs tag",IF(OR(P283="False alarm",P283="Unscripted – false alarm"),"FP",IF(P283="Duplicate","Duplicate",IF(P283="Late (real act)","Late","Excluded"))))))</f>
        <v/>
      </c>
      <c r="R283" s="47" t="n"/>
      <c r="S283" s="43" t="n"/>
      <c r="T283" s="43" t="n"/>
      <c r="U283" s="43" t="n"/>
      <c r="V283" s="47" t="n"/>
      <c r="W283" s="47" t="n"/>
      <c r="X283" s="52" t="n"/>
      <c r="Y283" s="43" t="n"/>
      <c r="Z283" s="55">
        <f>IF(OR(Y283="",Q283=""),"",IF(Y283=Q283,"OK","MISMATCH"))</f>
        <v/>
      </c>
      <c r="AA283" s="43" t="n"/>
    </row>
    <row r="284" ht="15" customHeight="1" s="35">
      <c r="A284" s="43" t="n"/>
      <c r="B284" s="47" t="n"/>
      <c r="C284" s="47" t="n"/>
      <c r="D284" s="47" t="n"/>
      <c r="E284" s="43" t="n"/>
      <c r="F284" s="52" t="n"/>
      <c r="G284" s="43" t="n"/>
      <c r="H284" s="51" t="n"/>
      <c r="I284" s="53">
        <f>IF(B284&lt;&gt;"Expected","",IF(C284="Parking Obstruction",IF(G284="Validation",Settings!$B$9,Settings!$B$8),IF(C284="Drinking",IF(G284="Validation",Settings!$B$11,Settings!$B$10),0)))</f>
        <v/>
      </c>
      <c r="J284" s="54">
        <f>IF(OR(B284&lt;&gt;"Expected",D284&lt;&gt;"Violation",H284=""),"",H284+I284+Settings!$B$5)</f>
        <v/>
      </c>
      <c r="K284" s="43" t="n"/>
      <c r="L284" s="51" t="n"/>
      <c r="M284" s="43" t="n"/>
      <c r="N284" s="54">
        <f>IF(AND(B284="Expected",D284="Violation",K284&lt;&gt;"",ISNUMBER(L284),ISNUMBER(H284)),L284-H284-I284,"")</f>
        <v/>
      </c>
      <c r="O284" s="43" t="n"/>
      <c r="P284" s="47" t="n"/>
      <c r="Q284" s="55">
        <f>IF(A284="","",IF(B284="Expected",IF(D284="Violation",IF(H284="","Needs start",IF(AND(K284&lt;&gt;"",OR(M284&lt;&gt;"Monitoring",Settings!$B$7="Yes"),ISNUMBER(L284),L284&lt;=J284),"TP","FN")),IF(AND(K284&lt;&gt;"",OR(M284&lt;&gt;"Monitoring",Settings!$B$7="Yes")),"FP","TN")),IF(P284="","Needs tag",IF(OR(P284="False alarm",P284="Unscripted – false alarm"),"FP",IF(P284="Duplicate","Duplicate",IF(P284="Late (real act)","Late","Excluded"))))))</f>
        <v/>
      </c>
      <c r="R284" s="47" t="n"/>
      <c r="S284" s="43" t="n"/>
      <c r="T284" s="43" t="n"/>
      <c r="U284" s="43" t="n"/>
      <c r="V284" s="47" t="n"/>
      <c r="W284" s="47" t="n"/>
      <c r="X284" s="52" t="n"/>
      <c r="Y284" s="43" t="n"/>
      <c r="Z284" s="55">
        <f>IF(OR(Y284="",Q284=""),"",IF(Y284=Q284,"OK","MISMATCH"))</f>
        <v/>
      </c>
      <c r="AA284" s="43" t="n"/>
    </row>
    <row r="285" ht="15" customHeight="1" s="35">
      <c r="A285" s="43" t="n"/>
      <c r="B285" s="47" t="n"/>
      <c r="C285" s="47" t="n"/>
      <c r="D285" s="47" t="n"/>
      <c r="E285" s="43" t="n"/>
      <c r="F285" s="52" t="n"/>
      <c r="G285" s="43" t="n"/>
      <c r="H285" s="51" t="n"/>
      <c r="I285" s="53">
        <f>IF(B285&lt;&gt;"Expected","",IF(C285="Parking Obstruction",IF(G285="Validation",Settings!$B$9,Settings!$B$8),IF(C285="Drinking",IF(G285="Validation",Settings!$B$11,Settings!$B$10),0)))</f>
        <v/>
      </c>
      <c r="J285" s="54">
        <f>IF(OR(B285&lt;&gt;"Expected",D285&lt;&gt;"Violation",H285=""),"",H285+I285+Settings!$B$5)</f>
        <v/>
      </c>
      <c r="K285" s="43" t="n"/>
      <c r="L285" s="51" t="n"/>
      <c r="M285" s="43" t="n"/>
      <c r="N285" s="54">
        <f>IF(AND(B285="Expected",D285="Violation",K285&lt;&gt;"",ISNUMBER(L285),ISNUMBER(H285)),L285-H285-I285,"")</f>
        <v/>
      </c>
      <c r="O285" s="43" t="n"/>
      <c r="P285" s="47" t="n"/>
      <c r="Q285" s="55">
        <f>IF(A285="","",IF(B285="Expected",IF(D285="Violation",IF(H285="","Needs start",IF(AND(K285&lt;&gt;"",OR(M285&lt;&gt;"Monitoring",Settings!$B$7="Yes"),ISNUMBER(L285),L285&lt;=J285),"TP","FN")),IF(AND(K285&lt;&gt;"",OR(M285&lt;&gt;"Monitoring",Settings!$B$7="Yes")),"FP","TN")),IF(P285="","Needs tag",IF(OR(P285="False alarm",P285="Unscripted – false alarm"),"FP",IF(P285="Duplicate","Duplicate",IF(P285="Late (real act)","Late","Excluded"))))))</f>
        <v/>
      </c>
      <c r="R285" s="47" t="n"/>
      <c r="S285" s="43" t="n"/>
      <c r="T285" s="43" t="n"/>
      <c r="U285" s="43" t="n"/>
      <c r="V285" s="47" t="n"/>
      <c r="W285" s="47" t="n"/>
      <c r="X285" s="52" t="n"/>
      <c r="Y285" s="43" t="n"/>
      <c r="Z285" s="55">
        <f>IF(OR(Y285="",Q285=""),"",IF(Y285=Q285,"OK","MISMATCH"))</f>
        <v/>
      </c>
      <c r="AA285" s="43" t="n"/>
    </row>
    <row r="286" ht="15" customHeight="1" s="35">
      <c r="A286" s="43" t="n"/>
      <c r="B286" s="47" t="n"/>
      <c r="C286" s="47" t="n"/>
      <c r="D286" s="47" t="n"/>
      <c r="E286" s="43" t="n"/>
      <c r="F286" s="52" t="n"/>
      <c r="G286" s="43" t="n"/>
      <c r="H286" s="51" t="n"/>
      <c r="I286" s="53">
        <f>IF(B286&lt;&gt;"Expected","",IF(C286="Parking Obstruction",IF(G286="Validation",Settings!$B$9,Settings!$B$8),IF(C286="Drinking",IF(G286="Validation",Settings!$B$11,Settings!$B$10),0)))</f>
        <v/>
      </c>
      <c r="J286" s="54">
        <f>IF(OR(B286&lt;&gt;"Expected",D286&lt;&gt;"Violation",H286=""),"",H286+I286+Settings!$B$5)</f>
        <v/>
      </c>
      <c r="K286" s="43" t="n"/>
      <c r="L286" s="51" t="n"/>
      <c r="M286" s="43" t="n"/>
      <c r="N286" s="54">
        <f>IF(AND(B286="Expected",D286="Violation",K286&lt;&gt;"",ISNUMBER(L286),ISNUMBER(H286)),L286-H286-I286,"")</f>
        <v/>
      </c>
      <c r="O286" s="43" t="n"/>
      <c r="P286" s="47" t="n"/>
      <c r="Q286" s="55">
        <f>IF(A286="","",IF(B286="Expected",IF(D286="Violation",IF(H286="","Needs start",IF(AND(K286&lt;&gt;"",OR(M286&lt;&gt;"Monitoring",Settings!$B$7="Yes"),ISNUMBER(L286),L286&lt;=J286),"TP","FN")),IF(AND(K286&lt;&gt;"",OR(M286&lt;&gt;"Monitoring",Settings!$B$7="Yes")),"FP","TN")),IF(P286="","Needs tag",IF(OR(P286="False alarm",P286="Unscripted – false alarm"),"FP",IF(P286="Duplicate","Duplicate",IF(P286="Late (real act)","Late","Excluded"))))))</f>
        <v/>
      </c>
      <c r="R286" s="47" t="n"/>
      <c r="S286" s="43" t="n"/>
      <c r="T286" s="43" t="n"/>
      <c r="U286" s="43" t="n"/>
      <c r="V286" s="47" t="n"/>
      <c r="W286" s="47" t="n"/>
      <c r="X286" s="52" t="n"/>
      <c r="Y286" s="43" t="n"/>
      <c r="Z286" s="55">
        <f>IF(OR(Y286="",Q286=""),"",IF(Y286=Q286,"OK","MISMATCH"))</f>
        <v/>
      </c>
      <c r="AA286" s="43" t="n"/>
    </row>
    <row r="287" ht="15" customHeight="1" s="35">
      <c r="A287" s="43" t="n"/>
      <c r="B287" s="47" t="n"/>
      <c r="C287" s="47" t="n"/>
      <c r="D287" s="47" t="n"/>
      <c r="E287" s="43" t="n"/>
      <c r="F287" s="52" t="n"/>
      <c r="G287" s="43" t="n"/>
      <c r="H287" s="51" t="n"/>
      <c r="I287" s="53">
        <f>IF(B287&lt;&gt;"Expected","",IF(C287="Parking Obstruction",IF(G287="Validation",Settings!$B$9,Settings!$B$8),IF(C287="Drinking",IF(G287="Validation",Settings!$B$11,Settings!$B$10),0)))</f>
        <v/>
      </c>
      <c r="J287" s="54">
        <f>IF(OR(B287&lt;&gt;"Expected",D287&lt;&gt;"Violation",H287=""),"",H287+I287+Settings!$B$5)</f>
        <v/>
      </c>
      <c r="K287" s="43" t="n"/>
      <c r="L287" s="51" t="n"/>
      <c r="M287" s="43" t="n"/>
      <c r="N287" s="54">
        <f>IF(AND(B287="Expected",D287="Violation",K287&lt;&gt;"",ISNUMBER(L287),ISNUMBER(H287)),L287-H287-I287,"")</f>
        <v/>
      </c>
      <c r="O287" s="43" t="n"/>
      <c r="P287" s="47" t="n"/>
      <c r="Q287" s="55">
        <f>IF(A287="","",IF(B287="Expected",IF(D287="Violation",IF(H287="","Needs start",IF(AND(K287&lt;&gt;"",OR(M287&lt;&gt;"Monitoring",Settings!$B$7="Yes"),ISNUMBER(L287),L287&lt;=J287),"TP","FN")),IF(AND(K287&lt;&gt;"",OR(M287&lt;&gt;"Monitoring",Settings!$B$7="Yes")),"FP","TN")),IF(P287="","Needs tag",IF(OR(P287="False alarm",P287="Unscripted – false alarm"),"FP",IF(P287="Duplicate","Duplicate",IF(P287="Late (real act)","Late","Excluded"))))))</f>
        <v/>
      </c>
      <c r="R287" s="47" t="n"/>
      <c r="S287" s="43" t="n"/>
      <c r="T287" s="43" t="n"/>
      <c r="U287" s="43" t="n"/>
      <c r="V287" s="47" t="n"/>
      <c r="W287" s="47" t="n"/>
      <c r="X287" s="52" t="n"/>
      <c r="Y287" s="43" t="n"/>
      <c r="Z287" s="55">
        <f>IF(OR(Y287="",Q287=""),"",IF(Y287=Q287,"OK","MISMATCH"))</f>
        <v/>
      </c>
      <c r="AA287" s="43" t="n"/>
    </row>
    <row r="288" ht="15" customHeight="1" s="35">
      <c r="A288" s="43" t="n"/>
      <c r="B288" s="47" t="n"/>
      <c r="C288" s="47" t="n"/>
      <c r="D288" s="47" t="n"/>
      <c r="E288" s="43" t="n"/>
      <c r="F288" s="52" t="n"/>
      <c r="G288" s="43" t="n"/>
      <c r="H288" s="51" t="n"/>
      <c r="I288" s="53">
        <f>IF(B288&lt;&gt;"Expected","",IF(C288="Parking Obstruction",IF(G288="Validation",Settings!$B$9,Settings!$B$8),IF(C288="Drinking",IF(G288="Validation",Settings!$B$11,Settings!$B$10),0)))</f>
        <v/>
      </c>
      <c r="J288" s="54">
        <f>IF(OR(B288&lt;&gt;"Expected",D288&lt;&gt;"Violation",H288=""),"",H288+I288+Settings!$B$5)</f>
        <v/>
      </c>
      <c r="K288" s="43" t="n"/>
      <c r="L288" s="51" t="n"/>
      <c r="M288" s="43" t="n"/>
      <c r="N288" s="54">
        <f>IF(AND(B288="Expected",D288="Violation",K288&lt;&gt;"",ISNUMBER(L288),ISNUMBER(H288)),L288-H288-I288,"")</f>
        <v/>
      </c>
      <c r="O288" s="43" t="n"/>
      <c r="P288" s="47" t="n"/>
      <c r="Q288" s="55">
        <f>IF(A288="","",IF(B288="Expected",IF(D288="Violation",IF(H288="","Needs start",IF(AND(K288&lt;&gt;"",OR(M288&lt;&gt;"Monitoring",Settings!$B$7="Yes"),ISNUMBER(L288),L288&lt;=J288),"TP","FN")),IF(AND(K288&lt;&gt;"",OR(M288&lt;&gt;"Monitoring",Settings!$B$7="Yes")),"FP","TN")),IF(P288="","Needs tag",IF(OR(P288="False alarm",P288="Unscripted – false alarm"),"FP",IF(P288="Duplicate","Duplicate",IF(P288="Late (real act)","Late","Excluded"))))))</f>
        <v/>
      </c>
      <c r="R288" s="47" t="n"/>
      <c r="S288" s="43" t="n"/>
      <c r="T288" s="43" t="n"/>
      <c r="U288" s="43" t="n"/>
      <c r="V288" s="47" t="n"/>
      <c r="W288" s="47" t="n"/>
      <c r="X288" s="52" t="n"/>
      <c r="Y288" s="43" t="n"/>
      <c r="Z288" s="55">
        <f>IF(OR(Y288="",Q288=""),"",IF(Y288=Q288,"OK","MISMATCH"))</f>
        <v/>
      </c>
      <c r="AA288" s="43" t="n"/>
    </row>
    <row r="289" ht="15" customHeight="1" s="35">
      <c r="A289" s="43" t="n"/>
      <c r="B289" s="47" t="n"/>
      <c r="C289" s="47" t="n"/>
      <c r="D289" s="47" t="n"/>
      <c r="E289" s="43" t="n"/>
      <c r="F289" s="52" t="n"/>
      <c r="G289" s="43" t="n"/>
      <c r="H289" s="51" t="n"/>
      <c r="I289" s="53">
        <f>IF(B289&lt;&gt;"Expected","",IF(C289="Parking Obstruction",IF(G289="Validation",Settings!$B$9,Settings!$B$8),IF(C289="Drinking",IF(G289="Validation",Settings!$B$11,Settings!$B$10),0)))</f>
        <v/>
      </c>
      <c r="J289" s="54">
        <f>IF(OR(B289&lt;&gt;"Expected",D289&lt;&gt;"Violation",H289=""),"",H289+I289+Settings!$B$5)</f>
        <v/>
      </c>
      <c r="K289" s="43" t="n"/>
      <c r="L289" s="51" t="n"/>
      <c r="M289" s="43" t="n"/>
      <c r="N289" s="54">
        <f>IF(AND(B289="Expected",D289="Violation",K289&lt;&gt;"",ISNUMBER(L289),ISNUMBER(H289)),L289-H289-I289,"")</f>
        <v/>
      </c>
      <c r="O289" s="43" t="n"/>
      <c r="P289" s="47" t="n"/>
      <c r="Q289" s="55">
        <f>IF(A289="","",IF(B289="Expected",IF(D289="Violation",IF(H289="","Needs start",IF(AND(K289&lt;&gt;"",OR(M289&lt;&gt;"Monitoring",Settings!$B$7="Yes"),ISNUMBER(L289),L289&lt;=J289),"TP","FN")),IF(AND(K289&lt;&gt;"",OR(M289&lt;&gt;"Monitoring",Settings!$B$7="Yes")),"FP","TN")),IF(P289="","Needs tag",IF(OR(P289="False alarm",P289="Unscripted – false alarm"),"FP",IF(P289="Duplicate","Duplicate",IF(P289="Late (real act)","Late","Excluded"))))))</f>
        <v/>
      </c>
      <c r="R289" s="47" t="n"/>
      <c r="S289" s="43" t="n"/>
      <c r="T289" s="43" t="n"/>
      <c r="U289" s="43" t="n"/>
      <c r="V289" s="47" t="n"/>
      <c r="W289" s="47" t="n"/>
      <c r="X289" s="52" t="n"/>
      <c r="Y289" s="43" t="n"/>
      <c r="Z289" s="55">
        <f>IF(OR(Y289="",Q289=""),"",IF(Y289=Q289,"OK","MISMATCH"))</f>
        <v/>
      </c>
      <c r="AA289" s="43" t="n"/>
    </row>
    <row r="290" ht="15" customHeight="1" s="35">
      <c r="A290" s="43" t="n"/>
      <c r="B290" s="47" t="n"/>
      <c r="C290" s="47" t="n"/>
      <c r="D290" s="47" t="n"/>
      <c r="E290" s="43" t="n"/>
      <c r="F290" s="52" t="n"/>
      <c r="G290" s="43" t="n"/>
      <c r="H290" s="51" t="n"/>
      <c r="I290" s="53">
        <f>IF(B290&lt;&gt;"Expected","",IF(C290="Parking Obstruction",IF(G290="Validation",Settings!$B$9,Settings!$B$8),IF(C290="Drinking",IF(G290="Validation",Settings!$B$11,Settings!$B$10),0)))</f>
        <v/>
      </c>
      <c r="J290" s="54">
        <f>IF(OR(B290&lt;&gt;"Expected",D290&lt;&gt;"Violation",H290=""),"",H290+I290+Settings!$B$5)</f>
        <v/>
      </c>
      <c r="K290" s="43" t="n"/>
      <c r="L290" s="51" t="n"/>
      <c r="M290" s="43" t="n"/>
      <c r="N290" s="54">
        <f>IF(AND(B290="Expected",D290="Violation",K290&lt;&gt;"",ISNUMBER(L290),ISNUMBER(H290)),L290-H290-I290,"")</f>
        <v/>
      </c>
      <c r="O290" s="43" t="n"/>
      <c r="P290" s="47" t="n"/>
      <c r="Q290" s="55">
        <f>IF(A290="","",IF(B290="Expected",IF(D290="Violation",IF(H290="","Needs start",IF(AND(K290&lt;&gt;"",OR(M290&lt;&gt;"Monitoring",Settings!$B$7="Yes"),ISNUMBER(L290),L290&lt;=J290),"TP","FN")),IF(AND(K290&lt;&gt;"",OR(M290&lt;&gt;"Monitoring",Settings!$B$7="Yes")),"FP","TN")),IF(P290="","Needs tag",IF(OR(P290="False alarm",P290="Unscripted – false alarm"),"FP",IF(P290="Duplicate","Duplicate",IF(P290="Late (real act)","Late","Excluded"))))))</f>
        <v/>
      </c>
      <c r="R290" s="47" t="n"/>
      <c r="S290" s="43" t="n"/>
      <c r="T290" s="43" t="n"/>
      <c r="U290" s="43" t="n"/>
      <c r="V290" s="47" t="n"/>
      <c r="W290" s="47" t="n"/>
      <c r="X290" s="52" t="n"/>
      <c r="Y290" s="43" t="n"/>
      <c r="Z290" s="55">
        <f>IF(OR(Y290="",Q290=""),"",IF(Y290=Q290,"OK","MISMATCH"))</f>
        <v/>
      </c>
      <c r="AA290" s="43" t="n"/>
    </row>
    <row r="291" ht="15" customHeight="1" s="35">
      <c r="A291" s="43" t="n"/>
      <c r="B291" s="47" t="n"/>
      <c r="C291" s="47" t="n"/>
      <c r="D291" s="47" t="n"/>
      <c r="E291" s="43" t="n"/>
      <c r="F291" s="52" t="n"/>
      <c r="G291" s="43" t="n"/>
      <c r="H291" s="51" t="n"/>
      <c r="I291" s="53">
        <f>IF(B291&lt;&gt;"Expected","",IF(C291="Parking Obstruction",IF(G291="Validation",Settings!$B$9,Settings!$B$8),IF(C291="Drinking",IF(G291="Validation",Settings!$B$11,Settings!$B$10),0)))</f>
        <v/>
      </c>
      <c r="J291" s="54">
        <f>IF(OR(B291&lt;&gt;"Expected",D291&lt;&gt;"Violation",H291=""),"",H291+I291+Settings!$B$5)</f>
        <v/>
      </c>
      <c r="K291" s="43" t="n"/>
      <c r="L291" s="51" t="n"/>
      <c r="M291" s="43" t="n"/>
      <c r="N291" s="54">
        <f>IF(AND(B291="Expected",D291="Violation",K291&lt;&gt;"",ISNUMBER(L291),ISNUMBER(H291)),L291-H291-I291,"")</f>
        <v/>
      </c>
      <c r="O291" s="43" t="n"/>
      <c r="P291" s="47" t="n"/>
      <c r="Q291" s="55">
        <f>IF(A291="","",IF(B291="Expected",IF(D291="Violation",IF(H291="","Needs start",IF(AND(K291&lt;&gt;"",OR(M291&lt;&gt;"Monitoring",Settings!$B$7="Yes"),ISNUMBER(L291),L291&lt;=J291),"TP","FN")),IF(AND(K291&lt;&gt;"",OR(M291&lt;&gt;"Monitoring",Settings!$B$7="Yes")),"FP","TN")),IF(P291="","Needs tag",IF(OR(P291="False alarm",P291="Unscripted – false alarm"),"FP",IF(P291="Duplicate","Duplicate",IF(P291="Late (real act)","Late","Excluded"))))))</f>
        <v/>
      </c>
      <c r="R291" s="47" t="n"/>
      <c r="S291" s="43" t="n"/>
      <c r="T291" s="43" t="n"/>
      <c r="U291" s="43" t="n"/>
      <c r="V291" s="47" t="n"/>
      <c r="W291" s="47" t="n"/>
      <c r="X291" s="52" t="n"/>
      <c r="Y291" s="43" t="n"/>
      <c r="Z291" s="55">
        <f>IF(OR(Y291="",Q291=""),"",IF(Y291=Q291,"OK","MISMATCH"))</f>
        <v/>
      </c>
      <c r="AA291" s="43" t="n"/>
    </row>
    <row r="292" ht="15" customHeight="1" s="35">
      <c r="A292" s="43" t="n"/>
      <c r="B292" s="47" t="n"/>
      <c r="C292" s="47" t="n"/>
      <c r="D292" s="47" t="n"/>
      <c r="E292" s="43" t="n"/>
      <c r="F292" s="52" t="n"/>
      <c r="G292" s="43" t="n"/>
      <c r="H292" s="51" t="n"/>
      <c r="I292" s="53">
        <f>IF(B292&lt;&gt;"Expected","",IF(C292="Parking Obstruction",IF(G292="Validation",Settings!$B$9,Settings!$B$8),IF(C292="Drinking",IF(G292="Validation",Settings!$B$11,Settings!$B$10),0)))</f>
        <v/>
      </c>
      <c r="J292" s="54">
        <f>IF(OR(B292&lt;&gt;"Expected",D292&lt;&gt;"Violation",H292=""),"",H292+I292+Settings!$B$5)</f>
        <v/>
      </c>
      <c r="K292" s="43" t="n"/>
      <c r="L292" s="51" t="n"/>
      <c r="M292" s="43" t="n"/>
      <c r="N292" s="54">
        <f>IF(AND(B292="Expected",D292="Violation",K292&lt;&gt;"",ISNUMBER(L292),ISNUMBER(H292)),L292-H292-I292,"")</f>
        <v/>
      </c>
      <c r="O292" s="43" t="n"/>
      <c r="P292" s="47" t="n"/>
      <c r="Q292" s="55">
        <f>IF(A292="","",IF(B292="Expected",IF(D292="Violation",IF(H292="","Needs start",IF(AND(K292&lt;&gt;"",OR(M292&lt;&gt;"Monitoring",Settings!$B$7="Yes"),ISNUMBER(L292),L292&lt;=J292),"TP","FN")),IF(AND(K292&lt;&gt;"",OR(M292&lt;&gt;"Monitoring",Settings!$B$7="Yes")),"FP","TN")),IF(P292="","Needs tag",IF(OR(P292="False alarm",P292="Unscripted – false alarm"),"FP",IF(P292="Duplicate","Duplicate",IF(P292="Late (real act)","Late","Excluded"))))))</f>
        <v/>
      </c>
      <c r="R292" s="47" t="n"/>
      <c r="S292" s="43" t="n"/>
      <c r="T292" s="43" t="n"/>
      <c r="U292" s="43" t="n"/>
      <c r="V292" s="47" t="n"/>
      <c r="W292" s="47" t="n"/>
      <c r="X292" s="52" t="n"/>
      <c r="Y292" s="43" t="n"/>
      <c r="Z292" s="55">
        <f>IF(OR(Y292="",Q292=""),"",IF(Y292=Q292,"OK","MISMATCH"))</f>
        <v/>
      </c>
      <c r="AA292" s="43" t="n"/>
    </row>
    <row r="293" ht="15" customHeight="1" s="35">
      <c r="A293" s="43" t="n"/>
      <c r="B293" s="47" t="n"/>
      <c r="C293" s="47" t="n"/>
      <c r="D293" s="47" t="n"/>
      <c r="E293" s="43" t="n"/>
      <c r="F293" s="52" t="n"/>
      <c r="G293" s="43" t="n"/>
      <c r="H293" s="51" t="n"/>
      <c r="I293" s="53">
        <f>IF(B293&lt;&gt;"Expected","",IF(C293="Parking Obstruction",IF(G293="Validation",Settings!$B$9,Settings!$B$8),IF(C293="Drinking",IF(G293="Validation",Settings!$B$11,Settings!$B$10),0)))</f>
        <v/>
      </c>
      <c r="J293" s="54">
        <f>IF(OR(B293&lt;&gt;"Expected",D293&lt;&gt;"Violation",H293=""),"",H293+I293+Settings!$B$5)</f>
        <v/>
      </c>
      <c r="K293" s="43" t="n"/>
      <c r="L293" s="51" t="n"/>
      <c r="M293" s="43" t="n"/>
      <c r="N293" s="54">
        <f>IF(AND(B293="Expected",D293="Violation",K293&lt;&gt;"",ISNUMBER(L293),ISNUMBER(H293)),L293-H293-I293,"")</f>
        <v/>
      </c>
      <c r="O293" s="43" t="n"/>
      <c r="P293" s="47" t="n"/>
      <c r="Q293" s="55">
        <f>IF(A293="","",IF(B293="Expected",IF(D293="Violation",IF(H293="","Needs start",IF(AND(K293&lt;&gt;"",OR(M293&lt;&gt;"Monitoring",Settings!$B$7="Yes"),ISNUMBER(L293),L293&lt;=J293),"TP","FN")),IF(AND(K293&lt;&gt;"",OR(M293&lt;&gt;"Monitoring",Settings!$B$7="Yes")),"FP","TN")),IF(P293="","Needs tag",IF(OR(P293="False alarm",P293="Unscripted – false alarm"),"FP",IF(P293="Duplicate","Duplicate",IF(P293="Late (real act)","Late","Excluded"))))))</f>
        <v/>
      </c>
      <c r="R293" s="47" t="n"/>
      <c r="S293" s="43" t="n"/>
      <c r="T293" s="43" t="n"/>
      <c r="U293" s="43" t="n"/>
      <c r="V293" s="47" t="n"/>
      <c r="W293" s="47" t="n"/>
      <c r="X293" s="52" t="n"/>
      <c r="Y293" s="43" t="n"/>
      <c r="Z293" s="55">
        <f>IF(OR(Y293="",Q293=""),"",IF(Y293=Q293,"OK","MISMATCH"))</f>
        <v/>
      </c>
      <c r="AA293" s="43" t="n"/>
    </row>
    <row r="294" ht="15" customHeight="1" s="35">
      <c r="A294" s="43" t="n"/>
      <c r="B294" s="47" t="n"/>
      <c r="C294" s="47" t="n"/>
      <c r="D294" s="47" t="n"/>
      <c r="E294" s="43" t="n"/>
      <c r="F294" s="52" t="n"/>
      <c r="G294" s="43" t="n"/>
      <c r="H294" s="51" t="n"/>
      <c r="I294" s="53">
        <f>IF(B294&lt;&gt;"Expected","",IF(C294="Parking Obstruction",IF(G294="Validation",Settings!$B$9,Settings!$B$8),IF(C294="Drinking",IF(G294="Validation",Settings!$B$11,Settings!$B$10),0)))</f>
        <v/>
      </c>
      <c r="J294" s="54">
        <f>IF(OR(B294&lt;&gt;"Expected",D294&lt;&gt;"Violation",H294=""),"",H294+I294+Settings!$B$5)</f>
        <v/>
      </c>
      <c r="K294" s="43" t="n"/>
      <c r="L294" s="51" t="n"/>
      <c r="M294" s="43" t="n"/>
      <c r="N294" s="54">
        <f>IF(AND(B294="Expected",D294="Violation",K294&lt;&gt;"",ISNUMBER(L294),ISNUMBER(H294)),L294-H294-I294,"")</f>
        <v/>
      </c>
      <c r="O294" s="43" t="n"/>
      <c r="P294" s="47" t="n"/>
      <c r="Q294" s="55">
        <f>IF(A294="","",IF(B294="Expected",IF(D294="Violation",IF(H294="","Needs start",IF(AND(K294&lt;&gt;"",OR(M294&lt;&gt;"Monitoring",Settings!$B$7="Yes"),ISNUMBER(L294),L294&lt;=J294),"TP","FN")),IF(AND(K294&lt;&gt;"",OR(M294&lt;&gt;"Monitoring",Settings!$B$7="Yes")),"FP","TN")),IF(P294="","Needs tag",IF(OR(P294="False alarm",P294="Unscripted – false alarm"),"FP",IF(P294="Duplicate","Duplicate",IF(P294="Late (real act)","Late","Excluded"))))))</f>
        <v/>
      </c>
      <c r="R294" s="47" t="n"/>
      <c r="S294" s="43" t="n"/>
      <c r="T294" s="43" t="n"/>
      <c r="U294" s="43" t="n"/>
      <c r="V294" s="47" t="n"/>
      <c r="W294" s="47" t="n"/>
      <c r="X294" s="52" t="n"/>
      <c r="Y294" s="43" t="n"/>
      <c r="Z294" s="55">
        <f>IF(OR(Y294="",Q294=""),"",IF(Y294=Q294,"OK","MISMATCH"))</f>
        <v/>
      </c>
      <c r="AA294" s="43" t="n"/>
    </row>
    <row r="295" ht="15" customHeight="1" s="35">
      <c r="A295" s="43" t="n"/>
      <c r="B295" s="47" t="n"/>
      <c r="C295" s="47" t="n"/>
      <c r="D295" s="47" t="n"/>
      <c r="E295" s="43" t="n"/>
      <c r="F295" s="52" t="n"/>
      <c r="G295" s="43" t="n"/>
      <c r="H295" s="51" t="n"/>
      <c r="I295" s="53">
        <f>IF(B295&lt;&gt;"Expected","",IF(C295="Parking Obstruction",IF(G295="Validation",Settings!$B$9,Settings!$B$8),IF(C295="Drinking",IF(G295="Validation",Settings!$B$11,Settings!$B$10),0)))</f>
        <v/>
      </c>
      <c r="J295" s="54">
        <f>IF(OR(B295&lt;&gt;"Expected",D295&lt;&gt;"Violation",H295=""),"",H295+I295+Settings!$B$5)</f>
        <v/>
      </c>
      <c r="K295" s="43" t="n"/>
      <c r="L295" s="51" t="n"/>
      <c r="M295" s="43" t="n"/>
      <c r="N295" s="54">
        <f>IF(AND(B295="Expected",D295="Violation",K295&lt;&gt;"",ISNUMBER(L295),ISNUMBER(H295)),L295-H295-I295,"")</f>
        <v/>
      </c>
      <c r="O295" s="43" t="n"/>
      <c r="P295" s="47" t="n"/>
      <c r="Q295" s="55">
        <f>IF(A295="","",IF(B295="Expected",IF(D295="Violation",IF(H295="","Needs start",IF(AND(K295&lt;&gt;"",OR(M295&lt;&gt;"Monitoring",Settings!$B$7="Yes"),ISNUMBER(L295),L295&lt;=J295),"TP","FN")),IF(AND(K295&lt;&gt;"",OR(M295&lt;&gt;"Monitoring",Settings!$B$7="Yes")),"FP","TN")),IF(P295="","Needs tag",IF(OR(P295="False alarm",P295="Unscripted – false alarm"),"FP",IF(P295="Duplicate","Duplicate",IF(P295="Late (real act)","Late","Excluded"))))))</f>
        <v/>
      </c>
      <c r="R295" s="47" t="n"/>
      <c r="S295" s="43" t="n"/>
      <c r="T295" s="43" t="n"/>
      <c r="U295" s="43" t="n"/>
      <c r="V295" s="47" t="n"/>
      <c r="W295" s="47" t="n"/>
      <c r="X295" s="52" t="n"/>
      <c r="Y295" s="43" t="n"/>
      <c r="Z295" s="55">
        <f>IF(OR(Y295="",Q295=""),"",IF(Y295=Q295,"OK","MISMATCH"))</f>
        <v/>
      </c>
      <c r="AA295" s="43" t="n"/>
    </row>
    <row r="296" ht="15" customHeight="1" s="35">
      <c r="A296" s="43" t="n"/>
      <c r="B296" s="47" t="n"/>
      <c r="C296" s="47" t="n"/>
      <c r="D296" s="47" t="n"/>
      <c r="E296" s="43" t="n"/>
      <c r="F296" s="52" t="n"/>
      <c r="G296" s="43" t="n"/>
      <c r="H296" s="51" t="n"/>
      <c r="I296" s="53">
        <f>IF(B296&lt;&gt;"Expected","",IF(C296="Parking Obstruction",IF(G296="Validation",Settings!$B$9,Settings!$B$8),IF(C296="Drinking",IF(G296="Validation",Settings!$B$11,Settings!$B$10),0)))</f>
        <v/>
      </c>
      <c r="J296" s="54">
        <f>IF(OR(B296&lt;&gt;"Expected",D296&lt;&gt;"Violation",H296=""),"",H296+I296+Settings!$B$5)</f>
        <v/>
      </c>
      <c r="K296" s="43" t="n"/>
      <c r="L296" s="51" t="n"/>
      <c r="M296" s="43" t="n"/>
      <c r="N296" s="54">
        <f>IF(AND(B296="Expected",D296="Violation",K296&lt;&gt;"",ISNUMBER(L296),ISNUMBER(H296)),L296-H296-I296,"")</f>
        <v/>
      </c>
      <c r="O296" s="43" t="n"/>
      <c r="P296" s="47" t="n"/>
      <c r="Q296" s="55">
        <f>IF(A296="","",IF(B296="Expected",IF(D296="Violation",IF(H296="","Needs start",IF(AND(K296&lt;&gt;"",OR(M296&lt;&gt;"Monitoring",Settings!$B$7="Yes"),ISNUMBER(L296),L296&lt;=J296),"TP","FN")),IF(AND(K296&lt;&gt;"",OR(M296&lt;&gt;"Monitoring",Settings!$B$7="Yes")),"FP","TN")),IF(P296="","Needs tag",IF(OR(P296="False alarm",P296="Unscripted – false alarm"),"FP",IF(P296="Duplicate","Duplicate",IF(P296="Late (real act)","Late","Excluded"))))))</f>
        <v/>
      </c>
      <c r="R296" s="47" t="n"/>
      <c r="S296" s="43" t="n"/>
      <c r="T296" s="43" t="n"/>
      <c r="U296" s="43" t="n"/>
      <c r="V296" s="47" t="n"/>
      <c r="W296" s="47" t="n"/>
      <c r="X296" s="52" t="n"/>
      <c r="Y296" s="43" t="n"/>
      <c r="Z296" s="55">
        <f>IF(OR(Y296="",Q296=""),"",IF(Y296=Q296,"OK","MISMATCH"))</f>
        <v/>
      </c>
      <c r="AA296" s="43" t="n"/>
    </row>
    <row r="297" ht="15" customHeight="1" s="35">
      <c r="A297" s="43" t="n"/>
      <c r="B297" s="47" t="n"/>
      <c r="C297" s="47" t="n"/>
      <c r="D297" s="47" t="n"/>
      <c r="E297" s="43" t="n"/>
      <c r="F297" s="52" t="n"/>
      <c r="G297" s="43" t="n"/>
      <c r="H297" s="51" t="n"/>
      <c r="I297" s="53">
        <f>IF(B297&lt;&gt;"Expected","",IF(C297="Parking Obstruction",IF(G297="Validation",Settings!$B$9,Settings!$B$8),IF(C297="Drinking",IF(G297="Validation",Settings!$B$11,Settings!$B$10),0)))</f>
        <v/>
      </c>
      <c r="J297" s="54">
        <f>IF(OR(B297&lt;&gt;"Expected",D297&lt;&gt;"Violation",H297=""),"",H297+I297+Settings!$B$5)</f>
        <v/>
      </c>
      <c r="K297" s="43" t="n"/>
      <c r="L297" s="51" t="n"/>
      <c r="M297" s="43" t="n"/>
      <c r="N297" s="54">
        <f>IF(AND(B297="Expected",D297="Violation",K297&lt;&gt;"",ISNUMBER(L297),ISNUMBER(H297)),L297-H297-I297,"")</f>
        <v/>
      </c>
      <c r="O297" s="43" t="n"/>
      <c r="P297" s="47" t="n"/>
      <c r="Q297" s="55">
        <f>IF(A297="","",IF(B297="Expected",IF(D297="Violation",IF(H297="","Needs start",IF(AND(K297&lt;&gt;"",OR(M297&lt;&gt;"Monitoring",Settings!$B$7="Yes"),ISNUMBER(L297),L297&lt;=J297),"TP","FN")),IF(AND(K297&lt;&gt;"",OR(M297&lt;&gt;"Monitoring",Settings!$B$7="Yes")),"FP","TN")),IF(P297="","Needs tag",IF(OR(P297="False alarm",P297="Unscripted – false alarm"),"FP",IF(P297="Duplicate","Duplicate",IF(P297="Late (real act)","Late","Excluded"))))))</f>
        <v/>
      </c>
      <c r="R297" s="47" t="n"/>
      <c r="S297" s="43" t="n"/>
      <c r="T297" s="43" t="n"/>
      <c r="U297" s="43" t="n"/>
      <c r="V297" s="47" t="n"/>
      <c r="W297" s="47" t="n"/>
      <c r="X297" s="52" t="n"/>
      <c r="Y297" s="43" t="n"/>
      <c r="Z297" s="55">
        <f>IF(OR(Y297="",Q297=""),"",IF(Y297=Q297,"OK","MISMATCH"))</f>
        <v/>
      </c>
      <c r="AA297" s="43" t="n"/>
    </row>
    <row r="298" ht="15" customHeight="1" s="35">
      <c r="A298" s="43" t="n"/>
      <c r="B298" s="47" t="n"/>
      <c r="C298" s="47" t="n"/>
      <c r="D298" s="47" t="n"/>
      <c r="E298" s="43" t="n"/>
      <c r="F298" s="52" t="n"/>
      <c r="G298" s="43" t="n"/>
      <c r="H298" s="51" t="n"/>
      <c r="I298" s="53">
        <f>IF(B298&lt;&gt;"Expected","",IF(C298="Parking Obstruction",IF(G298="Validation",Settings!$B$9,Settings!$B$8),IF(C298="Drinking",IF(G298="Validation",Settings!$B$11,Settings!$B$10),0)))</f>
        <v/>
      </c>
      <c r="J298" s="54">
        <f>IF(OR(B298&lt;&gt;"Expected",D298&lt;&gt;"Violation",H298=""),"",H298+I298+Settings!$B$5)</f>
        <v/>
      </c>
      <c r="K298" s="43" t="n"/>
      <c r="L298" s="51" t="n"/>
      <c r="M298" s="43" t="n"/>
      <c r="N298" s="54">
        <f>IF(AND(B298="Expected",D298="Violation",K298&lt;&gt;"",ISNUMBER(L298),ISNUMBER(H298)),L298-H298-I298,"")</f>
        <v/>
      </c>
      <c r="O298" s="43" t="n"/>
      <c r="P298" s="47" t="n"/>
      <c r="Q298" s="55">
        <f>IF(A298="","",IF(B298="Expected",IF(D298="Violation",IF(H298="","Needs start",IF(AND(K298&lt;&gt;"",OR(M298&lt;&gt;"Monitoring",Settings!$B$7="Yes"),ISNUMBER(L298),L298&lt;=J298),"TP","FN")),IF(AND(K298&lt;&gt;"",OR(M298&lt;&gt;"Monitoring",Settings!$B$7="Yes")),"FP","TN")),IF(P298="","Needs tag",IF(OR(P298="False alarm",P298="Unscripted – false alarm"),"FP",IF(P298="Duplicate","Duplicate",IF(P298="Late (real act)","Late","Excluded"))))))</f>
        <v/>
      </c>
      <c r="R298" s="47" t="n"/>
      <c r="S298" s="43" t="n"/>
      <c r="T298" s="43" t="n"/>
      <c r="U298" s="43" t="n"/>
      <c r="V298" s="47" t="n"/>
      <c r="W298" s="47" t="n"/>
      <c r="X298" s="52" t="n"/>
      <c r="Y298" s="43" t="n"/>
      <c r="Z298" s="55">
        <f>IF(OR(Y298="",Q298=""),"",IF(Y298=Q298,"OK","MISMATCH"))</f>
        <v/>
      </c>
      <c r="AA298" s="43" t="n"/>
    </row>
    <row r="299" ht="15" customHeight="1" s="35">
      <c r="A299" s="43" t="n"/>
      <c r="B299" s="47" t="n"/>
      <c r="C299" s="47" t="n"/>
      <c r="D299" s="47" t="n"/>
      <c r="E299" s="43" t="n"/>
      <c r="F299" s="52" t="n"/>
      <c r="G299" s="43" t="n"/>
      <c r="H299" s="51" t="n"/>
      <c r="I299" s="53">
        <f>IF(B299&lt;&gt;"Expected","",IF(C299="Parking Obstruction",IF(G299="Validation",Settings!$B$9,Settings!$B$8),IF(C299="Drinking",IF(G299="Validation",Settings!$B$11,Settings!$B$10),0)))</f>
        <v/>
      </c>
      <c r="J299" s="54">
        <f>IF(OR(B299&lt;&gt;"Expected",D299&lt;&gt;"Violation",H299=""),"",H299+I299+Settings!$B$5)</f>
        <v/>
      </c>
      <c r="K299" s="43" t="n"/>
      <c r="L299" s="51" t="n"/>
      <c r="M299" s="43" t="n"/>
      <c r="N299" s="54">
        <f>IF(AND(B299="Expected",D299="Violation",K299&lt;&gt;"",ISNUMBER(L299),ISNUMBER(H299)),L299-H299-I299,"")</f>
        <v/>
      </c>
      <c r="O299" s="43" t="n"/>
      <c r="P299" s="47" t="n"/>
      <c r="Q299" s="55">
        <f>IF(A299="","",IF(B299="Expected",IF(D299="Violation",IF(H299="","Needs start",IF(AND(K299&lt;&gt;"",OR(M299&lt;&gt;"Monitoring",Settings!$B$7="Yes"),ISNUMBER(L299),L299&lt;=J299),"TP","FN")),IF(AND(K299&lt;&gt;"",OR(M299&lt;&gt;"Monitoring",Settings!$B$7="Yes")),"FP","TN")),IF(P299="","Needs tag",IF(OR(P299="False alarm",P299="Unscripted – false alarm"),"FP",IF(P299="Duplicate","Duplicate",IF(P299="Late (real act)","Late","Excluded"))))))</f>
        <v/>
      </c>
      <c r="R299" s="47" t="n"/>
      <c r="S299" s="43" t="n"/>
      <c r="T299" s="43" t="n"/>
      <c r="U299" s="43" t="n"/>
      <c r="V299" s="47" t="n"/>
      <c r="W299" s="47" t="n"/>
      <c r="X299" s="52" t="n"/>
      <c r="Y299" s="43" t="n"/>
      <c r="Z299" s="55">
        <f>IF(OR(Y299="",Q299=""),"",IF(Y299=Q299,"OK","MISMATCH"))</f>
        <v/>
      </c>
      <c r="AA299" s="43" t="n"/>
    </row>
    <row r="300" ht="15" customHeight="1" s="35">
      <c r="A300" s="43" t="n"/>
      <c r="B300" s="47" t="n"/>
      <c r="C300" s="47" t="n"/>
      <c r="D300" s="47" t="n"/>
      <c r="E300" s="43" t="n"/>
      <c r="F300" s="52" t="n"/>
      <c r="G300" s="43" t="n"/>
      <c r="H300" s="51" t="n"/>
      <c r="I300" s="53">
        <f>IF(B300&lt;&gt;"Expected","",IF(C300="Parking Obstruction",IF(G300="Validation",Settings!$B$9,Settings!$B$8),IF(C300="Drinking",IF(G300="Validation",Settings!$B$11,Settings!$B$10),0)))</f>
        <v/>
      </c>
      <c r="J300" s="54">
        <f>IF(OR(B300&lt;&gt;"Expected",D300&lt;&gt;"Violation",H300=""),"",H300+I300+Settings!$B$5)</f>
        <v/>
      </c>
      <c r="K300" s="43" t="n"/>
      <c r="L300" s="51" t="n"/>
      <c r="M300" s="43" t="n"/>
      <c r="N300" s="54">
        <f>IF(AND(B300="Expected",D300="Violation",K300&lt;&gt;"",ISNUMBER(L300),ISNUMBER(H300)),L300-H300-I300,"")</f>
        <v/>
      </c>
      <c r="O300" s="43" t="n"/>
      <c r="P300" s="47" t="n"/>
      <c r="Q300" s="55">
        <f>IF(A300="","",IF(B300="Expected",IF(D300="Violation",IF(H300="","Needs start",IF(AND(K300&lt;&gt;"",OR(M300&lt;&gt;"Monitoring",Settings!$B$7="Yes"),ISNUMBER(L300),L300&lt;=J300),"TP","FN")),IF(AND(K300&lt;&gt;"",OR(M300&lt;&gt;"Monitoring",Settings!$B$7="Yes")),"FP","TN")),IF(P300="","Needs tag",IF(OR(P300="False alarm",P300="Unscripted – false alarm"),"FP",IF(P300="Duplicate","Duplicate",IF(P300="Late (real act)","Late","Excluded"))))))</f>
        <v/>
      </c>
      <c r="R300" s="47" t="n"/>
      <c r="S300" s="43" t="n"/>
      <c r="T300" s="43" t="n"/>
      <c r="U300" s="43" t="n"/>
      <c r="V300" s="47" t="n"/>
      <c r="W300" s="47" t="n"/>
      <c r="X300" s="52" t="n"/>
      <c r="Y300" s="43" t="n"/>
      <c r="Z300" s="55">
        <f>IF(OR(Y300="",Q300=""),"",IF(Y300=Q300,"OK","MISMATCH"))</f>
        <v/>
      </c>
      <c r="AA300" s="43" t="n"/>
    </row>
    <row r="301" ht="15" customHeight="1" s="35">
      <c r="A301" s="43" t="n"/>
      <c r="B301" s="47" t="n"/>
      <c r="C301" s="47" t="n"/>
      <c r="D301" s="47" t="n"/>
      <c r="E301" s="43" t="n"/>
      <c r="F301" s="52" t="n"/>
      <c r="G301" s="43" t="n"/>
      <c r="H301" s="51" t="n"/>
      <c r="I301" s="53">
        <f>IF(B301&lt;&gt;"Expected","",IF(C301="Parking Obstruction",IF(G301="Validation",Settings!$B$9,Settings!$B$8),IF(C301="Drinking",IF(G301="Validation",Settings!$B$11,Settings!$B$10),0)))</f>
        <v/>
      </c>
      <c r="J301" s="54">
        <f>IF(OR(B301&lt;&gt;"Expected",D301&lt;&gt;"Violation",H301=""),"",H301+I301+Settings!$B$5)</f>
        <v/>
      </c>
      <c r="K301" s="43" t="n"/>
      <c r="L301" s="51" t="n"/>
      <c r="M301" s="43" t="n"/>
      <c r="N301" s="54">
        <f>IF(AND(B301="Expected",D301="Violation",K301&lt;&gt;"",ISNUMBER(L301),ISNUMBER(H301)),L301-H301-I301,"")</f>
        <v/>
      </c>
      <c r="O301" s="43" t="n"/>
      <c r="P301" s="47" t="n"/>
      <c r="Q301" s="55">
        <f>IF(A301="","",IF(B301="Expected",IF(D301="Violation",IF(H301="","Needs start",IF(AND(K301&lt;&gt;"",OR(M301&lt;&gt;"Monitoring",Settings!$B$7="Yes"),ISNUMBER(L301),L301&lt;=J301),"TP","FN")),IF(AND(K301&lt;&gt;"",OR(M301&lt;&gt;"Monitoring",Settings!$B$7="Yes")),"FP","TN")),IF(P301="","Needs tag",IF(OR(P301="False alarm",P301="Unscripted – false alarm"),"FP",IF(P301="Duplicate","Duplicate",IF(P301="Late (real act)","Late","Excluded"))))))</f>
        <v/>
      </c>
      <c r="R301" s="47" t="n"/>
      <c r="S301" s="43" t="n"/>
      <c r="T301" s="43" t="n"/>
      <c r="U301" s="43" t="n"/>
      <c r="V301" s="47" t="n"/>
      <c r="W301" s="47" t="n"/>
      <c r="X301" s="52" t="n"/>
      <c r="Y301" s="43" t="n"/>
      <c r="Z301" s="55">
        <f>IF(OR(Y301="",Q301=""),"",IF(Y301=Q301,"OK","MISMATCH"))</f>
        <v/>
      </c>
      <c r="AA301" s="43" t="n"/>
    </row>
    <row r="302" ht="15" customHeight="1" s="35">
      <c r="A302" s="43" t="n"/>
      <c r="B302" s="47" t="n"/>
      <c r="C302" s="47" t="n"/>
      <c r="D302" s="47" t="n"/>
      <c r="E302" s="43" t="n"/>
      <c r="F302" s="52" t="n"/>
      <c r="G302" s="43" t="n"/>
      <c r="H302" s="51" t="n"/>
      <c r="I302" s="53">
        <f>IF(B302&lt;&gt;"Expected","",IF(C302="Parking Obstruction",IF(G302="Validation",Settings!$B$9,Settings!$B$8),IF(C302="Drinking",IF(G302="Validation",Settings!$B$11,Settings!$B$10),0)))</f>
        <v/>
      </c>
      <c r="J302" s="54">
        <f>IF(OR(B302&lt;&gt;"Expected",D302&lt;&gt;"Violation",H302=""),"",H302+I302+Settings!$B$5)</f>
        <v/>
      </c>
      <c r="K302" s="43" t="n"/>
      <c r="L302" s="51" t="n"/>
      <c r="M302" s="43" t="n"/>
      <c r="N302" s="54">
        <f>IF(AND(B302="Expected",D302="Violation",K302&lt;&gt;"",ISNUMBER(L302),ISNUMBER(H302)),L302-H302-I302,"")</f>
        <v/>
      </c>
      <c r="O302" s="43" t="n"/>
      <c r="P302" s="47" t="n"/>
      <c r="Q302" s="55">
        <f>IF(A302="","",IF(B302="Expected",IF(D302="Violation",IF(H302="","Needs start",IF(AND(K302&lt;&gt;"",OR(M302&lt;&gt;"Monitoring",Settings!$B$7="Yes"),ISNUMBER(L302),L302&lt;=J302),"TP","FN")),IF(AND(K302&lt;&gt;"",OR(M302&lt;&gt;"Monitoring",Settings!$B$7="Yes")),"FP","TN")),IF(P302="","Needs tag",IF(OR(P302="False alarm",P302="Unscripted – false alarm"),"FP",IF(P302="Duplicate","Duplicate",IF(P302="Late (real act)","Late","Excluded"))))))</f>
        <v/>
      </c>
      <c r="R302" s="47" t="n"/>
      <c r="S302" s="43" t="n"/>
      <c r="T302" s="43" t="n"/>
      <c r="U302" s="43" t="n"/>
      <c r="V302" s="47" t="n"/>
      <c r="W302" s="47" t="n"/>
      <c r="X302" s="52" t="n"/>
      <c r="Y302" s="43" t="n"/>
      <c r="Z302" s="55">
        <f>IF(OR(Y302="",Q302=""),"",IF(Y302=Q302,"OK","MISMATCH"))</f>
        <v/>
      </c>
      <c r="AA302" s="43" t="n"/>
    </row>
    <row r="303" ht="15" customHeight="1" s="35">
      <c r="A303" s="43" t="n"/>
      <c r="B303" s="47" t="n"/>
      <c r="C303" s="47" t="n"/>
      <c r="D303" s="47" t="n"/>
      <c r="E303" s="43" t="n"/>
      <c r="F303" s="52" t="n"/>
      <c r="G303" s="43" t="n"/>
      <c r="H303" s="51" t="n"/>
      <c r="I303" s="53">
        <f>IF(B303&lt;&gt;"Expected","",IF(C303="Parking Obstruction",IF(G303="Validation",Settings!$B$9,Settings!$B$8),IF(C303="Drinking",IF(G303="Validation",Settings!$B$11,Settings!$B$10),0)))</f>
        <v/>
      </c>
      <c r="J303" s="54">
        <f>IF(OR(B303&lt;&gt;"Expected",D303&lt;&gt;"Violation",H303=""),"",H303+I303+Settings!$B$5)</f>
        <v/>
      </c>
      <c r="K303" s="43" t="n"/>
      <c r="L303" s="51" t="n"/>
      <c r="M303" s="43" t="n"/>
      <c r="N303" s="54">
        <f>IF(AND(B303="Expected",D303="Violation",K303&lt;&gt;"",ISNUMBER(L303),ISNUMBER(H303)),L303-H303-I303,"")</f>
        <v/>
      </c>
      <c r="O303" s="43" t="n"/>
      <c r="P303" s="47" t="n"/>
      <c r="Q303" s="55">
        <f>IF(A303="","",IF(B303="Expected",IF(D303="Violation",IF(H303="","Needs start",IF(AND(K303&lt;&gt;"",OR(M303&lt;&gt;"Monitoring",Settings!$B$7="Yes"),ISNUMBER(L303),L303&lt;=J303),"TP","FN")),IF(AND(K303&lt;&gt;"",OR(M303&lt;&gt;"Monitoring",Settings!$B$7="Yes")),"FP","TN")),IF(P303="","Needs tag",IF(OR(P303="False alarm",P303="Unscripted – false alarm"),"FP",IF(P303="Duplicate","Duplicate",IF(P303="Late (real act)","Late","Excluded"))))))</f>
        <v/>
      </c>
      <c r="R303" s="47" t="n"/>
      <c r="S303" s="43" t="n"/>
      <c r="T303" s="43" t="n"/>
      <c r="U303" s="43" t="n"/>
      <c r="V303" s="47" t="n"/>
      <c r="W303" s="47" t="n"/>
      <c r="X303" s="52" t="n"/>
      <c r="Y303" s="43" t="n"/>
      <c r="Z303" s="55">
        <f>IF(OR(Y303="",Q303=""),"",IF(Y303=Q303,"OK","MISMATCH"))</f>
        <v/>
      </c>
      <c r="AA303" s="43" t="n"/>
    </row>
    <row r="304" ht="15" customHeight="1" s="35">
      <c r="A304" s="43" t="n"/>
      <c r="B304" s="47" t="n"/>
      <c r="C304" s="47" t="n"/>
      <c r="D304" s="47" t="n"/>
      <c r="E304" s="43" t="n"/>
      <c r="F304" s="52" t="n"/>
      <c r="G304" s="43" t="n"/>
      <c r="H304" s="51" t="n"/>
      <c r="I304" s="53">
        <f>IF(B304&lt;&gt;"Expected","",IF(C304="Parking Obstruction",IF(G304="Validation",Settings!$B$9,Settings!$B$8),IF(C304="Drinking",IF(G304="Validation",Settings!$B$11,Settings!$B$10),0)))</f>
        <v/>
      </c>
      <c r="J304" s="54">
        <f>IF(OR(B304&lt;&gt;"Expected",D304&lt;&gt;"Violation",H304=""),"",H304+I304+Settings!$B$5)</f>
        <v/>
      </c>
      <c r="K304" s="43" t="n"/>
      <c r="L304" s="51" t="n"/>
      <c r="M304" s="43" t="n"/>
      <c r="N304" s="54">
        <f>IF(AND(B304="Expected",D304="Violation",K304&lt;&gt;"",ISNUMBER(L304),ISNUMBER(H304)),L304-H304-I304,"")</f>
        <v/>
      </c>
      <c r="O304" s="43" t="n"/>
      <c r="P304" s="47" t="n"/>
      <c r="Q304" s="55">
        <f>IF(A304="","",IF(B304="Expected",IF(D304="Violation",IF(H304="","Needs start",IF(AND(K304&lt;&gt;"",OR(M304&lt;&gt;"Monitoring",Settings!$B$7="Yes"),ISNUMBER(L304),L304&lt;=J304),"TP","FN")),IF(AND(K304&lt;&gt;"",OR(M304&lt;&gt;"Monitoring",Settings!$B$7="Yes")),"FP","TN")),IF(P304="","Needs tag",IF(OR(P304="False alarm",P304="Unscripted – false alarm"),"FP",IF(P304="Duplicate","Duplicate",IF(P304="Late (real act)","Late","Excluded"))))))</f>
        <v/>
      </c>
      <c r="R304" s="47" t="n"/>
      <c r="S304" s="43" t="n"/>
      <c r="T304" s="43" t="n"/>
      <c r="U304" s="43" t="n"/>
      <c r="V304" s="47" t="n"/>
      <c r="W304" s="47" t="n"/>
      <c r="X304" s="52" t="n"/>
      <c r="Y304" s="43" t="n"/>
      <c r="Z304" s="55">
        <f>IF(OR(Y304="",Q304=""),"",IF(Y304=Q304,"OK","MISMATCH"))</f>
        <v/>
      </c>
      <c r="AA304" s="43" t="n"/>
    </row>
    <row r="305" ht="15" customHeight="1" s="35">
      <c r="A305" s="43" t="n"/>
      <c r="B305" s="47" t="n"/>
      <c r="C305" s="47" t="n"/>
      <c r="D305" s="47" t="n"/>
      <c r="E305" s="43" t="n"/>
      <c r="F305" s="52" t="n"/>
      <c r="G305" s="43" t="n"/>
      <c r="H305" s="51" t="n"/>
      <c r="I305" s="53">
        <f>IF(B305&lt;&gt;"Expected","",IF(C305="Parking Obstruction",IF(G305="Validation",Settings!$B$9,Settings!$B$8),IF(C305="Drinking",IF(G305="Validation",Settings!$B$11,Settings!$B$10),0)))</f>
        <v/>
      </c>
      <c r="J305" s="54">
        <f>IF(OR(B305&lt;&gt;"Expected",D305&lt;&gt;"Violation",H305=""),"",H305+I305+Settings!$B$5)</f>
        <v/>
      </c>
      <c r="K305" s="43" t="n"/>
      <c r="L305" s="51" t="n"/>
      <c r="M305" s="43" t="n"/>
      <c r="N305" s="54">
        <f>IF(AND(B305="Expected",D305="Violation",K305&lt;&gt;"",ISNUMBER(L305),ISNUMBER(H305)),L305-H305-I305,"")</f>
        <v/>
      </c>
      <c r="O305" s="43" t="n"/>
      <c r="P305" s="47" t="n"/>
      <c r="Q305" s="55">
        <f>IF(A305="","",IF(B305="Expected",IF(D305="Violation",IF(H305="","Needs start",IF(AND(K305&lt;&gt;"",OR(M305&lt;&gt;"Monitoring",Settings!$B$7="Yes"),ISNUMBER(L305),L305&lt;=J305),"TP","FN")),IF(AND(K305&lt;&gt;"",OR(M305&lt;&gt;"Monitoring",Settings!$B$7="Yes")),"FP","TN")),IF(P305="","Needs tag",IF(OR(P305="False alarm",P305="Unscripted – false alarm"),"FP",IF(P305="Duplicate","Duplicate",IF(P305="Late (real act)","Late","Excluded"))))))</f>
        <v/>
      </c>
      <c r="R305" s="47" t="n"/>
      <c r="S305" s="43" t="n"/>
      <c r="T305" s="43" t="n"/>
      <c r="U305" s="43" t="n"/>
      <c r="V305" s="47" t="n"/>
      <c r="W305" s="47" t="n"/>
      <c r="X305" s="52" t="n"/>
      <c r="Y305" s="43" t="n"/>
      <c r="Z305" s="55">
        <f>IF(OR(Y305="",Q305=""),"",IF(Y305=Q305,"OK","MISMATCH"))</f>
        <v/>
      </c>
      <c r="AA305" s="43" t="n"/>
    </row>
    <row r="306" ht="15" customHeight="1" s="35">
      <c r="A306" s="43" t="n"/>
      <c r="B306" s="47" t="n"/>
      <c r="C306" s="47" t="n"/>
      <c r="D306" s="47" t="n"/>
      <c r="E306" s="43" t="n"/>
      <c r="F306" s="52" t="n"/>
      <c r="G306" s="43" t="n"/>
      <c r="H306" s="51" t="n"/>
      <c r="I306" s="53">
        <f>IF(B306&lt;&gt;"Expected","",IF(C306="Parking Obstruction",IF(G306="Validation",Settings!$B$9,Settings!$B$8),IF(C306="Drinking",IF(G306="Validation",Settings!$B$11,Settings!$B$10),0)))</f>
        <v/>
      </c>
      <c r="J306" s="54">
        <f>IF(OR(B306&lt;&gt;"Expected",D306&lt;&gt;"Violation",H306=""),"",H306+I306+Settings!$B$5)</f>
        <v/>
      </c>
      <c r="K306" s="43" t="n"/>
      <c r="L306" s="51" t="n"/>
      <c r="M306" s="43" t="n"/>
      <c r="N306" s="54">
        <f>IF(AND(B306="Expected",D306="Violation",K306&lt;&gt;"",ISNUMBER(L306),ISNUMBER(H306)),L306-H306-I306,"")</f>
        <v/>
      </c>
      <c r="O306" s="43" t="n"/>
      <c r="P306" s="47" t="n"/>
      <c r="Q306" s="55">
        <f>IF(A306="","",IF(B306="Expected",IF(D306="Violation",IF(H306="","Needs start",IF(AND(K306&lt;&gt;"",OR(M306&lt;&gt;"Monitoring",Settings!$B$7="Yes"),ISNUMBER(L306),L306&lt;=J306),"TP","FN")),IF(AND(K306&lt;&gt;"",OR(M306&lt;&gt;"Monitoring",Settings!$B$7="Yes")),"FP","TN")),IF(P306="","Needs tag",IF(OR(P306="False alarm",P306="Unscripted – false alarm"),"FP",IF(P306="Duplicate","Duplicate",IF(P306="Late (real act)","Late","Excluded"))))))</f>
        <v/>
      </c>
      <c r="R306" s="47" t="n"/>
      <c r="S306" s="43" t="n"/>
      <c r="T306" s="43" t="n"/>
      <c r="U306" s="43" t="n"/>
      <c r="V306" s="47" t="n"/>
      <c r="W306" s="47" t="n"/>
      <c r="X306" s="52" t="n"/>
      <c r="Y306" s="43" t="n"/>
      <c r="Z306" s="55">
        <f>IF(OR(Y306="",Q306=""),"",IF(Y306=Q306,"OK","MISMATCH"))</f>
        <v/>
      </c>
      <c r="AA306" s="43" t="n"/>
    </row>
    <row r="307" ht="15" customHeight="1" s="35">
      <c r="A307" s="43" t="n"/>
      <c r="B307" s="47" t="n"/>
      <c r="C307" s="47" t="n"/>
      <c r="D307" s="47" t="n"/>
      <c r="E307" s="43" t="n"/>
      <c r="F307" s="52" t="n"/>
      <c r="G307" s="43" t="n"/>
      <c r="H307" s="51" t="n"/>
      <c r="I307" s="53">
        <f>IF(B307&lt;&gt;"Expected","",IF(C307="Parking Obstruction",IF(G307="Validation",Settings!$B$9,Settings!$B$8),IF(C307="Drinking",IF(G307="Validation",Settings!$B$11,Settings!$B$10),0)))</f>
        <v/>
      </c>
      <c r="J307" s="54">
        <f>IF(OR(B307&lt;&gt;"Expected",D307&lt;&gt;"Violation",H307=""),"",H307+I307+Settings!$B$5)</f>
        <v/>
      </c>
      <c r="K307" s="43" t="n"/>
      <c r="L307" s="51" t="n"/>
      <c r="M307" s="43" t="n"/>
      <c r="N307" s="54">
        <f>IF(AND(B307="Expected",D307="Violation",K307&lt;&gt;"",ISNUMBER(L307),ISNUMBER(H307)),L307-H307-I307,"")</f>
        <v/>
      </c>
      <c r="O307" s="43" t="n"/>
      <c r="P307" s="47" t="n"/>
      <c r="Q307" s="55">
        <f>IF(A307="","",IF(B307="Expected",IF(D307="Violation",IF(H307="","Needs start",IF(AND(K307&lt;&gt;"",OR(M307&lt;&gt;"Monitoring",Settings!$B$7="Yes"),ISNUMBER(L307),L307&lt;=J307),"TP","FN")),IF(AND(K307&lt;&gt;"",OR(M307&lt;&gt;"Monitoring",Settings!$B$7="Yes")),"FP","TN")),IF(P307="","Needs tag",IF(OR(P307="False alarm",P307="Unscripted – false alarm"),"FP",IF(P307="Duplicate","Duplicate",IF(P307="Late (real act)","Late","Excluded"))))))</f>
        <v/>
      </c>
      <c r="R307" s="47" t="n"/>
      <c r="S307" s="43" t="n"/>
      <c r="T307" s="43" t="n"/>
      <c r="U307" s="43" t="n"/>
      <c r="V307" s="47" t="n"/>
      <c r="W307" s="47" t="n"/>
      <c r="X307" s="52" t="n"/>
      <c r="Y307" s="43" t="n"/>
      <c r="Z307" s="55">
        <f>IF(OR(Y307="",Q307=""),"",IF(Y307=Q307,"OK","MISMATCH"))</f>
        <v/>
      </c>
      <c r="AA307" s="43" t="n"/>
    </row>
    <row r="308" ht="15" customHeight="1" s="35">
      <c r="A308" s="43" t="n"/>
      <c r="B308" s="47" t="n"/>
      <c r="C308" s="47" t="n"/>
      <c r="D308" s="47" t="n"/>
      <c r="E308" s="43" t="n"/>
      <c r="F308" s="52" t="n"/>
      <c r="G308" s="43" t="n"/>
      <c r="H308" s="51" t="n"/>
      <c r="I308" s="53">
        <f>IF(B308&lt;&gt;"Expected","",IF(C308="Parking Obstruction",IF(G308="Validation",Settings!$B$9,Settings!$B$8),IF(C308="Drinking",IF(G308="Validation",Settings!$B$11,Settings!$B$10),0)))</f>
        <v/>
      </c>
      <c r="J308" s="54">
        <f>IF(OR(B308&lt;&gt;"Expected",D308&lt;&gt;"Violation",H308=""),"",H308+I308+Settings!$B$5)</f>
        <v/>
      </c>
      <c r="K308" s="43" t="n"/>
      <c r="L308" s="51" t="n"/>
      <c r="M308" s="43" t="n"/>
      <c r="N308" s="54">
        <f>IF(AND(B308="Expected",D308="Violation",K308&lt;&gt;"",ISNUMBER(L308),ISNUMBER(H308)),L308-H308-I308,"")</f>
        <v/>
      </c>
      <c r="O308" s="43" t="n"/>
      <c r="P308" s="47" t="n"/>
      <c r="Q308" s="55">
        <f>IF(A308="","",IF(B308="Expected",IF(D308="Violation",IF(H308="","Needs start",IF(AND(K308&lt;&gt;"",OR(M308&lt;&gt;"Monitoring",Settings!$B$7="Yes"),ISNUMBER(L308),L308&lt;=J308),"TP","FN")),IF(AND(K308&lt;&gt;"",OR(M308&lt;&gt;"Monitoring",Settings!$B$7="Yes")),"FP","TN")),IF(P308="","Needs tag",IF(OR(P308="False alarm",P308="Unscripted – false alarm"),"FP",IF(P308="Duplicate","Duplicate",IF(P308="Late (real act)","Late","Excluded"))))))</f>
        <v/>
      </c>
      <c r="R308" s="47" t="n"/>
      <c r="S308" s="43" t="n"/>
      <c r="T308" s="43" t="n"/>
      <c r="U308" s="43" t="n"/>
      <c r="V308" s="47" t="n"/>
      <c r="W308" s="47" t="n"/>
      <c r="X308" s="52" t="n"/>
      <c r="Y308" s="43" t="n"/>
      <c r="Z308" s="55">
        <f>IF(OR(Y308="",Q308=""),"",IF(Y308=Q308,"OK","MISMATCH"))</f>
        <v/>
      </c>
      <c r="AA308" s="43" t="n"/>
    </row>
    <row r="309" ht="15" customHeight="1" s="35">
      <c r="A309" s="43" t="n"/>
      <c r="B309" s="47" t="n"/>
      <c r="C309" s="47" t="n"/>
      <c r="D309" s="47" t="n"/>
      <c r="E309" s="43" t="n"/>
      <c r="F309" s="52" t="n"/>
      <c r="G309" s="43" t="n"/>
      <c r="H309" s="51" t="n"/>
      <c r="I309" s="53">
        <f>IF(B309&lt;&gt;"Expected","",IF(C309="Parking Obstruction",IF(G309="Validation",Settings!$B$9,Settings!$B$8),IF(C309="Drinking",IF(G309="Validation",Settings!$B$11,Settings!$B$10),0)))</f>
        <v/>
      </c>
      <c r="J309" s="54">
        <f>IF(OR(B309&lt;&gt;"Expected",D309&lt;&gt;"Violation",H309=""),"",H309+I309+Settings!$B$5)</f>
        <v/>
      </c>
      <c r="K309" s="43" t="n"/>
      <c r="L309" s="51" t="n"/>
      <c r="M309" s="43" t="n"/>
      <c r="N309" s="54">
        <f>IF(AND(B309="Expected",D309="Violation",K309&lt;&gt;"",ISNUMBER(L309),ISNUMBER(H309)),L309-H309-I309,"")</f>
        <v/>
      </c>
      <c r="O309" s="43" t="n"/>
      <c r="P309" s="47" t="n"/>
      <c r="Q309" s="55">
        <f>IF(A309="","",IF(B309="Expected",IF(D309="Violation",IF(H309="","Needs start",IF(AND(K309&lt;&gt;"",OR(M309&lt;&gt;"Monitoring",Settings!$B$7="Yes"),ISNUMBER(L309),L309&lt;=J309),"TP","FN")),IF(AND(K309&lt;&gt;"",OR(M309&lt;&gt;"Monitoring",Settings!$B$7="Yes")),"FP","TN")),IF(P309="","Needs tag",IF(OR(P309="False alarm",P309="Unscripted – false alarm"),"FP",IF(P309="Duplicate","Duplicate",IF(P309="Late (real act)","Late","Excluded"))))))</f>
        <v/>
      </c>
      <c r="R309" s="47" t="n"/>
      <c r="S309" s="43" t="n"/>
      <c r="T309" s="43" t="n"/>
      <c r="U309" s="43" t="n"/>
      <c r="V309" s="47" t="n"/>
      <c r="W309" s="47" t="n"/>
      <c r="X309" s="52" t="n"/>
      <c r="Y309" s="43" t="n"/>
      <c r="Z309" s="55">
        <f>IF(OR(Y309="",Q309=""),"",IF(Y309=Q309,"OK","MISMATCH"))</f>
        <v/>
      </c>
      <c r="AA309" s="43" t="n"/>
    </row>
    <row r="310" ht="15" customHeight="1" s="35">
      <c r="A310" s="43" t="n"/>
      <c r="B310" s="47" t="n"/>
      <c r="C310" s="47" t="n"/>
      <c r="D310" s="47" t="n"/>
      <c r="E310" s="43" t="n"/>
      <c r="F310" s="52" t="n"/>
      <c r="G310" s="43" t="n"/>
      <c r="H310" s="51" t="n"/>
      <c r="I310" s="53">
        <f>IF(B310&lt;&gt;"Expected","",IF(C310="Parking Obstruction",IF(G310="Validation",Settings!$B$9,Settings!$B$8),IF(C310="Drinking",IF(G310="Validation",Settings!$B$11,Settings!$B$10),0)))</f>
        <v/>
      </c>
      <c r="J310" s="54">
        <f>IF(OR(B310&lt;&gt;"Expected",D310&lt;&gt;"Violation",H310=""),"",H310+I310+Settings!$B$5)</f>
        <v/>
      </c>
      <c r="K310" s="43" t="n"/>
      <c r="L310" s="51" t="n"/>
      <c r="M310" s="43" t="n"/>
      <c r="N310" s="54">
        <f>IF(AND(B310="Expected",D310="Violation",K310&lt;&gt;"",ISNUMBER(L310),ISNUMBER(H310)),L310-H310-I310,"")</f>
        <v/>
      </c>
      <c r="O310" s="43" t="n"/>
      <c r="P310" s="47" t="n"/>
      <c r="Q310" s="55">
        <f>IF(A310="","",IF(B310="Expected",IF(D310="Violation",IF(H310="","Needs start",IF(AND(K310&lt;&gt;"",OR(M310&lt;&gt;"Monitoring",Settings!$B$7="Yes"),ISNUMBER(L310),L310&lt;=J310),"TP","FN")),IF(AND(K310&lt;&gt;"",OR(M310&lt;&gt;"Monitoring",Settings!$B$7="Yes")),"FP","TN")),IF(P310="","Needs tag",IF(OR(P310="False alarm",P310="Unscripted – false alarm"),"FP",IF(P310="Duplicate","Duplicate",IF(P310="Late (real act)","Late","Excluded"))))))</f>
        <v/>
      </c>
      <c r="R310" s="47" t="n"/>
      <c r="S310" s="43" t="n"/>
      <c r="T310" s="43" t="n"/>
      <c r="U310" s="43" t="n"/>
      <c r="V310" s="47" t="n"/>
      <c r="W310" s="47" t="n"/>
      <c r="X310" s="52" t="n"/>
      <c r="Y310" s="43" t="n"/>
      <c r="Z310" s="55">
        <f>IF(OR(Y310="",Q310=""),"",IF(Y310=Q310,"OK","MISMATCH"))</f>
        <v/>
      </c>
      <c r="AA310" s="43" t="n"/>
    </row>
    <row r="311" ht="15" customHeight="1" s="35">
      <c r="A311" s="43" t="n"/>
      <c r="B311" s="47" t="n"/>
      <c r="C311" s="47" t="n"/>
      <c r="D311" s="47" t="n"/>
      <c r="E311" s="43" t="n"/>
      <c r="F311" s="52" t="n"/>
      <c r="G311" s="43" t="n"/>
      <c r="H311" s="51" t="n"/>
      <c r="I311" s="53">
        <f>IF(B311&lt;&gt;"Expected","",IF(C311="Parking Obstruction",IF(G311="Validation",Settings!$B$9,Settings!$B$8),IF(C311="Drinking",IF(G311="Validation",Settings!$B$11,Settings!$B$10),0)))</f>
        <v/>
      </c>
      <c r="J311" s="54">
        <f>IF(OR(B311&lt;&gt;"Expected",D311&lt;&gt;"Violation",H311=""),"",H311+I311+Settings!$B$5)</f>
        <v/>
      </c>
      <c r="K311" s="43" t="n"/>
      <c r="L311" s="51" t="n"/>
      <c r="M311" s="43" t="n"/>
      <c r="N311" s="54">
        <f>IF(AND(B311="Expected",D311="Violation",K311&lt;&gt;"",ISNUMBER(L311),ISNUMBER(H311)),L311-H311-I311,"")</f>
        <v/>
      </c>
      <c r="O311" s="43" t="n"/>
      <c r="P311" s="47" t="n"/>
      <c r="Q311" s="55">
        <f>IF(A311="","",IF(B311="Expected",IF(D311="Violation",IF(H311="","Needs start",IF(AND(K311&lt;&gt;"",OR(M311&lt;&gt;"Monitoring",Settings!$B$7="Yes"),ISNUMBER(L311),L311&lt;=J311),"TP","FN")),IF(AND(K311&lt;&gt;"",OR(M311&lt;&gt;"Monitoring",Settings!$B$7="Yes")),"FP","TN")),IF(P311="","Needs tag",IF(OR(P311="False alarm",P311="Unscripted – false alarm"),"FP",IF(P311="Duplicate","Duplicate",IF(P311="Late (real act)","Late","Excluded"))))))</f>
        <v/>
      </c>
      <c r="R311" s="47" t="n"/>
      <c r="S311" s="43" t="n"/>
      <c r="T311" s="43" t="n"/>
      <c r="U311" s="43" t="n"/>
      <c r="V311" s="47" t="n"/>
      <c r="W311" s="47" t="n"/>
      <c r="X311" s="52" t="n"/>
      <c r="Y311" s="43" t="n"/>
      <c r="Z311" s="55">
        <f>IF(OR(Y311="",Q311=""),"",IF(Y311=Q311,"OK","MISMATCH"))</f>
        <v/>
      </c>
      <c r="AA311" s="43" t="n"/>
    </row>
    <row r="312" ht="15" customHeight="1" s="35">
      <c r="A312" s="43" t="n"/>
      <c r="B312" s="47" t="n"/>
      <c r="C312" s="47" t="n"/>
      <c r="D312" s="47" t="n"/>
      <c r="E312" s="43" t="n"/>
      <c r="F312" s="52" t="n"/>
      <c r="G312" s="43" t="n"/>
      <c r="H312" s="51" t="n"/>
      <c r="I312" s="53">
        <f>IF(B312&lt;&gt;"Expected","",IF(C312="Parking Obstruction",IF(G312="Validation",Settings!$B$9,Settings!$B$8),IF(C312="Drinking",IF(G312="Validation",Settings!$B$11,Settings!$B$10),0)))</f>
        <v/>
      </c>
      <c r="J312" s="54">
        <f>IF(OR(B312&lt;&gt;"Expected",D312&lt;&gt;"Violation",H312=""),"",H312+I312+Settings!$B$5)</f>
        <v/>
      </c>
      <c r="K312" s="43" t="n"/>
      <c r="L312" s="51" t="n"/>
      <c r="M312" s="43" t="n"/>
      <c r="N312" s="54">
        <f>IF(AND(B312="Expected",D312="Violation",K312&lt;&gt;"",ISNUMBER(L312),ISNUMBER(H312)),L312-H312-I312,"")</f>
        <v/>
      </c>
      <c r="O312" s="43" t="n"/>
      <c r="P312" s="47" t="n"/>
      <c r="Q312" s="55">
        <f>IF(A312="","",IF(B312="Expected",IF(D312="Violation",IF(H312="","Needs start",IF(AND(K312&lt;&gt;"",OR(M312&lt;&gt;"Monitoring",Settings!$B$7="Yes"),ISNUMBER(L312),L312&lt;=J312),"TP","FN")),IF(AND(K312&lt;&gt;"",OR(M312&lt;&gt;"Monitoring",Settings!$B$7="Yes")),"FP","TN")),IF(P312="","Needs tag",IF(OR(P312="False alarm",P312="Unscripted – false alarm"),"FP",IF(P312="Duplicate","Duplicate",IF(P312="Late (real act)","Late","Excluded"))))))</f>
        <v/>
      </c>
      <c r="R312" s="47" t="n"/>
      <c r="S312" s="43" t="n"/>
      <c r="T312" s="43" t="n"/>
      <c r="U312" s="43" t="n"/>
      <c r="V312" s="47" t="n"/>
      <c r="W312" s="47" t="n"/>
      <c r="X312" s="52" t="n"/>
      <c r="Y312" s="43" t="n"/>
      <c r="Z312" s="55">
        <f>IF(OR(Y312="",Q312=""),"",IF(Y312=Q312,"OK","MISMATCH"))</f>
        <v/>
      </c>
      <c r="AA312" s="43" t="n"/>
    </row>
    <row r="313" ht="15" customHeight="1" s="35">
      <c r="A313" s="43" t="n"/>
      <c r="B313" s="47" t="n"/>
      <c r="C313" s="47" t="n"/>
      <c r="D313" s="47" t="n"/>
      <c r="E313" s="43" t="n"/>
      <c r="F313" s="52" t="n"/>
      <c r="G313" s="43" t="n"/>
      <c r="H313" s="51" t="n"/>
      <c r="I313" s="53">
        <f>IF(B313&lt;&gt;"Expected","",IF(C313="Parking Obstruction",IF(G313="Validation",Settings!$B$9,Settings!$B$8),IF(C313="Drinking",IF(G313="Validation",Settings!$B$11,Settings!$B$10),0)))</f>
        <v/>
      </c>
      <c r="J313" s="54">
        <f>IF(OR(B313&lt;&gt;"Expected",D313&lt;&gt;"Violation",H313=""),"",H313+I313+Settings!$B$5)</f>
        <v/>
      </c>
      <c r="K313" s="43" t="n"/>
      <c r="L313" s="51" t="n"/>
      <c r="M313" s="43" t="n"/>
      <c r="N313" s="54">
        <f>IF(AND(B313="Expected",D313="Violation",K313&lt;&gt;"",ISNUMBER(L313),ISNUMBER(H313)),L313-H313-I313,"")</f>
        <v/>
      </c>
      <c r="O313" s="43" t="n"/>
      <c r="P313" s="47" t="n"/>
      <c r="Q313" s="55">
        <f>IF(A313="","",IF(B313="Expected",IF(D313="Violation",IF(H313="","Needs start",IF(AND(K313&lt;&gt;"",OR(M313&lt;&gt;"Monitoring",Settings!$B$7="Yes"),ISNUMBER(L313),L313&lt;=J313),"TP","FN")),IF(AND(K313&lt;&gt;"",OR(M313&lt;&gt;"Monitoring",Settings!$B$7="Yes")),"FP","TN")),IF(P313="","Needs tag",IF(OR(P313="False alarm",P313="Unscripted – false alarm"),"FP",IF(P313="Duplicate","Duplicate",IF(P313="Late (real act)","Late","Excluded"))))))</f>
        <v/>
      </c>
      <c r="R313" s="47" t="n"/>
      <c r="S313" s="43" t="n"/>
      <c r="T313" s="43" t="n"/>
      <c r="U313" s="43" t="n"/>
      <c r="V313" s="47" t="n"/>
      <c r="W313" s="47" t="n"/>
      <c r="X313" s="52" t="n"/>
      <c r="Y313" s="43" t="n"/>
      <c r="Z313" s="55">
        <f>IF(OR(Y313="",Q313=""),"",IF(Y313=Q313,"OK","MISMATCH"))</f>
        <v/>
      </c>
      <c r="AA313" s="43" t="n"/>
    </row>
    <row r="314" ht="15" customHeight="1" s="35">
      <c r="A314" s="43" t="n"/>
      <c r="B314" s="47" t="n"/>
      <c r="C314" s="47" t="n"/>
      <c r="D314" s="47" t="n"/>
      <c r="E314" s="43" t="n"/>
      <c r="F314" s="52" t="n"/>
      <c r="G314" s="43" t="n"/>
      <c r="H314" s="51" t="n"/>
      <c r="I314" s="53">
        <f>IF(B314&lt;&gt;"Expected","",IF(C314="Parking Obstruction",IF(G314="Validation",Settings!$B$9,Settings!$B$8),IF(C314="Drinking",IF(G314="Validation",Settings!$B$11,Settings!$B$10),0)))</f>
        <v/>
      </c>
      <c r="J314" s="54">
        <f>IF(OR(B314&lt;&gt;"Expected",D314&lt;&gt;"Violation",H314=""),"",H314+I314+Settings!$B$5)</f>
        <v/>
      </c>
      <c r="K314" s="43" t="n"/>
      <c r="L314" s="51" t="n"/>
      <c r="M314" s="43" t="n"/>
      <c r="N314" s="54">
        <f>IF(AND(B314="Expected",D314="Violation",K314&lt;&gt;"",ISNUMBER(L314),ISNUMBER(H314)),L314-H314-I314,"")</f>
        <v/>
      </c>
      <c r="O314" s="43" t="n"/>
      <c r="P314" s="47" t="n"/>
      <c r="Q314" s="55">
        <f>IF(A314="","",IF(B314="Expected",IF(D314="Violation",IF(H314="","Needs start",IF(AND(K314&lt;&gt;"",OR(M314&lt;&gt;"Monitoring",Settings!$B$7="Yes"),ISNUMBER(L314),L314&lt;=J314),"TP","FN")),IF(AND(K314&lt;&gt;"",OR(M314&lt;&gt;"Monitoring",Settings!$B$7="Yes")),"FP","TN")),IF(P314="","Needs tag",IF(OR(P314="False alarm",P314="Unscripted – false alarm"),"FP",IF(P314="Duplicate","Duplicate",IF(P314="Late (real act)","Late","Excluded"))))))</f>
        <v/>
      </c>
      <c r="R314" s="47" t="n"/>
      <c r="S314" s="43" t="n"/>
      <c r="T314" s="43" t="n"/>
      <c r="U314" s="43" t="n"/>
      <c r="V314" s="47" t="n"/>
      <c r="W314" s="47" t="n"/>
      <c r="X314" s="52" t="n"/>
      <c r="Y314" s="43" t="n"/>
      <c r="Z314" s="55">
        <f>IF(OR(Y314="",Q314=""),"",IF(Y314=Q314,"OK","MISMATCH"))</f>
        <v/>
      </c>
      <c r="AA314" s="43" t="n"/>
    </row>
    <row r="315" ht="15" customHeight="1" s="35">
      <c r="A315" s="43" t="n"/>
      <c r="B315" s="47" t="n"/>
      <c r="C315" s="47" t="n"/>
      <c r="D315" s="47" t="n"/>
      <c r="E315" s="43" t="n"/>
      <c r="F315" s="52" t="n"/>
      <c r="G315" s="43" t="n"/>
      <c r="H315" s="51" t="n"/>
      <c r="I315" s="53">
        <f>IF(B315&lt;&gt;"Expected","",IF(C315="Parking Obstruction",IF(G315="Validation",Settings!$B$9,Settings!$B$8),IF(C315="Drinking",IF(G315="Validation",Settings!$B$11,Settings!$B$10),0)))</f>
        <v/>
      </c>
      <c r="J315" s="54">
        <f>IF(OR(B315&lt;&gt;"Expected",D315&lt;&gt;"Violation",H315=""),"",H315+I315+Settings!$B$5)</f>
        <v/>
      </c>
      <c r="K315" s="43" t="n"/>
      <c r="L315" s="51" t="n"/>
      <c r="M315" s="43" t="n"/>
      <c r="N315" s="54">
        <f>IF(AND(B315="Expected",D315="Violation",K315&lt;&gt;"",ISNUMBER(L315),ISNUMBER(H315)),L315-H315-I315,"")</f>
        <v/>
      </c>
      <c r="O315" s="43" t="n"/>
      <c r="P315" s="47" t="n"/>
      <c r="Q315" s="55">
        <f>IF(A315="","",IF(B315="Expected",IF(D315="Violation",IF(H315="","Needs start",IF(AND(K315&lt;&gt;"",OR(M315&lt;&gt;"Monitoring",Settings!$B$7="Yes"),ISNUMBER(L315),L315&lt;=J315),"TP","FN")),IF(AND(K315&lt;&gt;"",OR(M315&lt;&gt;"Monitoring",Settings!$B$7="Yes")),"FP","TN")),IF(P315="","Needs tag",IF(OR(P315="False alarm",P315="Unscripted – false alarm"),"FP",IF(P315="Duplicate","Duplicate",IF(P315="Late (real act)","Late","Excluded"))))))</f>
        <v/>
      </c>
      <c r="R315" s="47" t="n"/>
      <c r="S315" s="43" t="n"/>
      <c r="T315" s="43" t="n"/>
      <c r="U315" s="43" t="n"/>
      <c r="V315" s="47" t="n"/>
      <c r="W315" s="47" t="n"/>
      <c r="X315" s="52" t="n"/>
      <c r="Y315" s="43" t="n"/>
      <c r="Z315" s="55">
        <f>IF(OR(Y315="",Q315=""),"",IF(Y315=Q315,"OK","MISMATCH"))</f>
        <v/>
      </c>
      <c r="AA315" s="43" t="n"/>
    </row>
    <row r="316" ht="15" customHeight="1" s="35">
      <c r="A316" s="43" t="n"/>
      <c r="B316" s="47" t="n"/>
      <c r="C316" s="47" t="n"/>
      <c r="D316" s="47" t="n"/>
      <c r="E316" s="43" t="n"/>
      <c r="F316" s="52" t="n"/>
      <c r="G316" s="43" t="n"/>
      <c r="H316" s="51" t="n"/>
      <c r="I316" s="53">
        <f>IF(B316&lt;&gt;"Expected","",IF(C316="Parking Obstruction",IF(G316="Validation",Settings!$B$9,Settings!$B$8),IF(C316="Drinking",IF(G316="Validation",Settings!$B$11,Settings!$B$10),0)))</f>
        <v/>
      </c>
      <c r="J316" s="54">
        <f>IF(OR(B316&lt;&gt;"Expected",D316&lt;&gt;"Violation",H316=""),"",H316+I316+Settings!$B$5)</f>
        <v/>
      </c>
      <c r="K316" s="43" t="n"/>
      <c r="L316" s="51" t="n"/>
      <c r="M316" s="43" t="n"/>
      <c r="N316" s="54">
        <f>IF(AND(B316="Expected",D316="Violation",K316&lt;&gt;"",ISNUMBER(L316),ISNUMBER(H316)),L316-H316-I316,"")</f>
        <v/>
      </c>
      <c r="O316" s="43" t="n"/>
      <c r="P316" s="47" t="n"/>
      <c r="Q316" s="55">
        <f>IF(A316="","",IF(B316="Expected",IF(D316="Violation",IF(H316="","Needs start",IF(AND(K316&lt;&gt;"",OR(M316&lt;&gt;"Monitoring",Settings!$B$7="Yes"),ISNUMBER(L316),L316&lt;=J316),"TP","FN")),IF(AND(K316&lt;&gt;"",OR(M316&lt;&gt;"Monitoring",Settings!$B$7="Yes")),"FP","TN")),IF(P316="","Needs tag",IF(OR(P316="False alarm",P316="Unscripted – false alarm"),"FP",IF(P316="Duplicate","Duplicate",IF(P316="Late (real act)","Late","Excluded"))))))</f>
        <v/>
      </c>
      <c r="R316" s="47" t="n"/>
      <c r="S316" s="43" t="n"/>
      <c r="T316" s="43" t="n"/>
      <c r="U316" s="43" t="n"/>
      <c r="V316" s="47" t="n"/>
      <c r="W316" s="47" t="n"/>
      <c r="X316" s="52" t="n"/>
      <c r="Y316" s="43" t="n"/>
      <c r="Z316" s="55">
        <f>IF(OR(Y316="",Q316=""),"",IF(Y316=Q316,"OK","MISMATCH"))</f>
        <v/>
      </c>
      <c r="AA316" s="43" t="n"/>
    </row>
    <row r="317" ht="15" customHeight="1" s="35">
      <c r="A317" s="43" t="n"/>
      <c r="B317" s="47" t="n"/>
      <c r="C317" s="47" t="n"/>
      <c r="D317" s="47" t="n"/>
      <c r="E317" s="43" t="n"/>
      <c r="F317" s="52" t="n"/>
      <c r="G317" s="43" t="n"/>
      <c r="H317" s="51" t="n"/>
      <c r="I317" s="53">
        <f>IF(B317&lt;&gt;"Expected","",IF(C317="Parking Obstruction",IF(G317="Validation",Settings!$B$9,Settings!$B$8),IF(C317="Drinking",IF(G317="Validation",Settings!$B$11,Settings!$B$10),0)))</f>
        <v/>
      </c>
      <c r="J317" s="54">
        <f>IF(OR(B317&lt;&gt;"Expected",D317&lt;&gt;"Violation",H317=""),"",H317+I317+Settings!$B$5)</f>
        <v/>
      </c>
      <c r="K317" s="43" t="n"/>
      <c r="L317" s="51" t="n"/>
      <c r="M317" s="43" t="n"/>
      <c r="N317" s="54">
        <f>IF(AND(B317="Expected",D317="Violation",K317&lt;&gt;"",ISNUMBER(L317),ISNUMBER(H317)),L317-H317-I317,"")</f>
        <v/>
      </c>
      <c r="O317" s="43" t="n"/>
      <c r="P317" s="47" t="n"/>
      <c r="Q317" s="55">
        <f>IF(A317="","",IF(B317="Expected",IF(D317="Violation",IF(H317="","Needs start",IF(AND(K317&lt;&gt;"",OR(M317&lt;&gt;"Monitoring",Settings!$B$7="Yes"),ISNUMBER(L317),L317&lt;=J317),"TP","FN")),IF(AND(K317&lt;&gt;"",OR(M317&lt;&gt;"Monitoring",Settings!$B$7="Yes")),"FP","TN")),IF(P317="","Needs tag",IF(OR(P317="False alarm",P317="Unscripted – false alarm"),"FP",IF(P317="Duplicate","Duplicate",IF(P317="Late (real act)","Late","Excluded"))))))</f>
        <v/>
      </c>
      <c r="R317" s="47" t="n"/>
      <c r="S317" s="43" t="n"/>
      <c r="T317" s="43" t="n"/>
      <c r="U317" s="43" t="n"/>
      <c r="V317" s="47" t="n"/>
      <c r="W317" s="47" t="n"/>
      <c r="X317" s="52" t="n"/>
      <c r="Y317" s="43" t="n"/>
      <c r="Z317" s="55">
        <f>IF(OR(Y317="",Q317=""),"",IF(Y317=Q317,"OK","MISMATCH"))</f>
        <v/>
      </c>
      <c r="AA317" s="43" t="n"/>
    </row>
    <row r="318" ht="15" customHeight="1" s="35">
      <c r="A318" s="43" t="n"/>
      <c r="B318" s="47" t="n"/>
      <c r="C318" s="47" t="n"/>
      <c r="D318" s="47" t="n"/>
      <c r="E318" s="43" t="n"/>
      <c r="F318" s="52" t="n"/>
      <c r="G318" s="43" t="n"/>
      <c r="H318" s="51" t="n"/>
      <c r="I318" s="53">
        <f>IF(B318&lt;&gt;"Expected","",IF(C318="Parking Obstruction",IF(G318="Validation",Settings!$B$9,Settings!$B$8),IF(C318="Drinking",IF(G318="Validation",Settings!$B$11,Settings!$B$10),0)))</f>
        <v/>
      </c>
      <c r="J318" s="54">
        <f>IF(OR(B318&lt;&gt;"Expected",D318&lt;&gt;"Violation",H318=""),"",H318+I318+Settings!$B$5)</f>
        <v/>
      </c>
      <c r="K318" s="43" t="n"/>
      <c r="L318" s="51" t="n"/>
      <c r="M318" s="43" t="n"/>
      <c r="N318" s="54">
        <f>IF(AND(B318="Expected",D318="Violation",K318&lt;&gt;"",ISNUMBER(L318),ISNUMBER(H318)),L318-H318-I318,"")</f>
        <v/>
      </c>
      <c r="O318" s="43" t="n"/>
      <c r="P318" s="47" t="n"/>
      <c r="Q318" s="55">
        <f>IF(A318="","",IF(B318="Expected",IF(D318="Violation",IF(H318="","Needs start",IF(AND(K318&lt;&gt;"",OR(M318&lt;&gt;"Monitoring",Settings!$B$7="Yes"),ISNUMBER(L318),L318&lt;=J318),"TP","FN")),IF(AND(K318&lt;&gt;"",OR(M318&lt;&gt;"Monitoring",Settings!$B$7="Yes")),"FP","TN")),IF(P318="","Needs tag",IF(OR(P318="False alarm",P318="Unscripted – false alarm"),"FP",IF(P318="Duplicate","Duplicate",IF(P318="Late (real act)","Late","Excluded"))))))</f>
        <v/>
      </c>
      <c r="R318" s="47" t="n"/>
      <c r="S318" s="43" t="n"/>
      <c r="T318" s="43" t="n"/>
      <c r="U318" s="43" t="n"/>
      <c r="V318" s="47" t="n"/>
      <c r="W318" s="47" t="n"/>
      <c r="X318" s="52" t="n"/>
      <c r="Y318" s="43" t="n"/>
      <c r="Z318" s="55">
        <f>IF(OR(Y318="",Q318=""),"",IF(Y318=Q318,"OK","MISMATCH"))</f>
        <v/>
      </c>
      <c r="AA318" s="43" t="n"/>
    </row>
    <row r="319" ht="15" customHeight="1" s="35">
      <c r="A319" s="43" t="n"/>
      <c r="B319" s="47" t="n"/>
      <c r="C319" s="47" t="n"/>
      <c r="D319" s="47" t="n"/>
      <c r="E319" s="43" t="n"/>
      <c r="F319" s="52" t="n"/>
      <c r="G319" s="43" t="n"/>
      <c r="H319" s="51" t="n"/>
      <c r="I319" s="53">
        <f>IF(B319&lt;&gt;"Expected","",IF(C319="Parking Obstruction",IF(G319="Validation",Settings!$B$9,Settings!$B$8),IF(C319="Drinking",IF(G319="Validation",Settings!$B$11,Settings!$B$10),0)))</f>
        <v/>
      </c>
      <c r="J319" s="54">
        <f>IF(OR(B319&lt;&gt;"Expected",D319&lt;&gt;"Violation",H319=""),"",H319+I319+Settings!$B$5)</f>
        <v/>
      </c>
      <c r="K319" s="43" t="n"/>
      <c r="L319" s="51" t="n"/>
      <c r="M319" s="43" t="n"/>
      <c r="N319" s="54">
        <f>IF(AND(B319="Expected",D319="Violation",K319&lt;&gt;"",ISNUMBER(L319),ISNUMBER(H319)),L319-H319-I319,"")</f>
        <v/>
      </c>
      <c r="O319" s="43" t="n"/>
      <c r="P319" s="47" t="n"/>
      <c r="Q319" s="55">
        <f>IF(A319="","",IF(B319="Expected",IF(D319="Violation",IF(H319="","Needs start",IF(AND(K319&lt;&gt;"",OR(M319&lt;&gt;"Monitoring",Settings!$B$7="Yes"),ISNUMBER(L319),L319&lt;=J319),"TP","FN")),IF(AND(K319&lt;&gt;"",OR(M319&lt;&gt;"Monitoring",Settings!$B$7="Yes")),"FP","TN")),IF(P319="","Needs tag",IF(OR(P319="False alarm",P319="Unscripted – false alarm"),"FP",IF(P319="Duplicate","Duplicate",IF(P319="Late (real act)","Late","Excluded"))))))</f>
        <v/>
      </c>
      <c r="R319" s="47" t="n"/>
      <c r="S319" s="43" t="n"/>
      <c r="T319" s="43" t="n"/>
      <c r="U319" s="43" t="n"/>
      <c r="V319" s="47" t="n"/>
      <c r="W319" s="47" t="n"/>
      <c r="X319" s="52" t="n"/>
      <c r="Y319" s="43" t="n"/>
      <c r="Z319" s="55">
        <f>IF(OR(Y319="",Q319=""),"",IF(Y319=Q319,"OK","MISMATCH"))</f>
        <v/>
      </c>
      <c r="AA319" s="43" t="n"/>
    </row>
    <row r="320" ht="15" customHeight="1" s="35">
      <c r="A320" s="43" t="n"/>
      <c r="B320" s="47" t="n"/>
      <c r="C320" s="47" t="n"/>
      <c r="D320" s="47" t="n"/>
      <c r="E320" s="43" t="n"/>
      <c r="F320" s="52" t="n"/>
      <c r="G320" s="43" t="n"/>
      <c r="H320" s="51" t="n"/>
      <c r="I320" s="53">
        <f>IF(B320&lt;&gt;"Expected","",IF(C320="Parking Obstruction",IF(G320="Validation",Settings!$B$9,Settings!$B$8),IF(C320="Drinking",IF(G320="Validation",Settings!$B$11,Settings!$B$10),0)))</f>
        <v/>
      </c>
      <c r="J320" s="54">
        <f>IF(OR(B320&lt;&gt;"Expected",D320&lt;&gt;"Violation",H320=""),"",H320+I320+Settings!$B$5)</f>
        <v/>
      </c>
      <c r="K320" s="43" t="n"/>
      <c r="L320" s="51" t="n"/>
      <c r="M320" s="43" t="n"/>
      <c r="N320" s="54">
        <f>IF(AND(B320="Expected",D320="Violation",K320&lt;&gt;"",ISNUMBER(L320),ISNUMBER(H320)),L320-H320-I320,"")</f>
        <v/>
      </c>
      <c r="O320" s="43" t="n"/>
      <c r="P320" s="47" t="n"/>
      <c r="Q320" s="55">
        <f>IF(A320="","",IF(B320="Expected",IF(D320="Violation",IF(H320="","Needs start",IF(AND(K320&lt;&gt;"",OR(M320&lt;&gt;"Monitoring",Settings!$B$7="Yes"),ISNUMBER(L320),L320&lt;=J320),"TP","FN")),IF(AND(K320&lt;&gt;"",OR(M320&lt;&gt;"Monitoring",Settings!$B$7="Yes")),"FP","TN")),IF(P320="","Needs tag",IF(OR(P320="False alarm",P320="Unscripted – false alarm"),"FP",IF(P320="Duplicate","Duplicate",IF(P320="Late (real act)","Late","Excluded"))))))</f>
        <v/>
      </c>
      <c r="R320" s="47" t="n"/>
      <c r="S320" s="43" t="n"/>
      <c r="T320" s="43" t="n"/>
      <c r="U320" s="43" t="n"/>
      <c r="V320" s="47" t="n"/>
      <c r="W320" s="47" t="n"/>
      <c r="X320" s="52" t="n"/>
      <c r="Y320" s="43" t="n"/>
      <c r="Z320" s="55">
        <f>IF(OR(Y320="",Q320=""),"",IF(Y320=Q320,"OK","MISMATCH"))</f>
        <v/>
      </c>
      <c r="AA320" s="43" t="n"/>
    </row>
    <row r="321" ht="15" customHeight="1" s="35">
      <c r="A321" s="43" t="n"/>
      <c r="B321" s="47" t="n"/>
      <c r="C321" s="47" t="n"/>
      <c r="D321" s="47" t="n"/>
      <c r="E321" s="43" t="n"/>
      <c r="F321" s="52" t="n"/>
      <c r="G321" s="43" t="n"/>
      <c r="H321" s="51" t="n"/>
      <c r="I321" s="53">
        <f>IF(B321&lt;&gt;"Expected","",IF(C321="Parking Obstruction",IF(G321="Validation",Settings!$B$9,Settings!$B$8),IF(C321="Drinking",IF(G321="Validation",Settings!$B$11,Settings!$B$10),0)))</f>
        <v/>
      </c>
      <c r="J321" s="54">
        <f>IF(OR(B321&lt;&gt;"Expected",D321&lt;&gt;"Violation",H321=""),"",H321+I321+Settings!$B$5)</f>
        <v/>
      </c>
      <c r="K321" s="43" t="n"/>
      <c r="L321" s="51" t="n"/>
      <c r="M321" s="43" t="n"/>
      <c r="N321" s="54">
        <f>IF(AND(B321="Expected",D321="Violation",K321&lt;&gt;"",ISNUMBER(L321),ISNUMBER(H321)),L321-H321-I321,"")</f>
        <v/>
      </c>
      <c r="O321" s="43" t="n"/>
      <c r="P321" s="47" t="n"/>
      <c r="Q321" s="55">
        <f>IF(A321="","",IF(B321="Expected",IF(D321="Violation",IF(H321="","Needs start",IF(AND(K321&lt;&gt;"",OR(M321&lt;&gt;"Monitoring",Settings!$B$7="Yes"),ISNUMBER(L321),L321&lt;=J321),"TP","FN")),IF(AND(K321&lt;&gt;"",OR(M321&lt;&gt;"Monitoring",Settings!$B$7="Yes")),"FP","TN")),IF(P321="","Needs tag",IF(OR(P321="False alarm",P321="Unscripted – false alarm"),"FP",IF(P321="Duplicate","Duplicate",IF(P321="Late (real act)","Late","Excluded"))))))</f>
        <v/>
      </c>
      <c r="R321" s="47" t="n"/>
      <c r="S321" s="43" t="n"/>
      <c r="T321" s="43" t="n"/>
      <c r="U321" s="43" t="n"/>
      <c r="V321" s="47" t="n"/>
      <c r="W321" s="47" t="n"/>
      <c r="X321" s="52" t="n"/>
      <c r="Y321" s="43" t="n"/>
      <c r="Z321" s="55">
        <f>IF(OR(Y321="",Q321=""),"",IF(Y321=Q321,"OK","MISMATCH"))</f>
        <v/>
      </c>
      <c r="AA321" s="43" t="n"/>
    </row>
    <row r="322" ht="15" customHeight="1" s="35">
      <c r="A322" s="43" t="n"/>
      <c r="B322" s="47" t="n"/>
      <c r="C322" s="47" t="n"/>
      <c r="D322" s="47" t="n"/>
      <c r="E322" s="43" t="n"/>
      <c r="F322" s="52" t="n"/>
      <c r="G322" s="43" t="n"/>
      <c r="H322" s="51" t="n"/>
      <c r="I322" s="53">
        <f>IF(B322&lt;&gt;"Expected","",IF(C322="Parking Obstruction",IF(G322="Validation",Settings!$B$9,Settings!$B$8),IF(C322="Drinking",IF(G322="Validation",Settings!$B$11,Settings!$B$10),0)))</f>
        <v/>
      </c>
      <c r="J322" s="54">
        <f>IF(OR(B322&lt;&gt;"Expected",D322&lt;&gt;"Violation",H322=""),"",H322+I322+Settings!$B$5)</f>
        <v/>
      </c>
      <c r="K322" s="43" t="n"/>
      <c r="L322" s="51" t="n"/>
      <c r="M322" s="43" t="n"/>
      <c r="N322" s="54">
        <f>IF(AND(B322="Expected",D322="Violation",K322&lt;&gt;"",ISNUMBER(L322),ISNUMBER(H322)),L322-H322-I322,"")</f>
        <v/>
      </c>
      <c r="O322" s="43" t="n"/>
      <c r="P322" s="47" t="n"/>
      <c r="Q322" s="55">
        <f>IF(A322="","",IF(B322="Expected",IF(D322="Violation",IF(H322="","Needs start",IF(AND(K322&lt;&gt;"",OR(M322&lt;&gt;"Monitoring",Settings!$B$7="Yes"),ISNUMBER(L322),L322&lt;=J322),"TP","FN")),IF(AND(K322&lt;&gt;"",OR(M322&lt;&gt;"Monitoring",Settings!$B$7="Yes")),"FP","TN")),IF(P322="","Needs tag",IF(OR(P322="False alarm",P322="Unscripted – false alarm"),"FP",IF(P322="Duplicate","Duplicate",IF(P322="Late (real act)","Late","Excluded"))))))</f>
        <v/>
      </c>
      <c r="R322" s="47" t="n"/>
      <c r="S322" s="43" t="n"/>
      <c r="T322" s="43" t="n"/>
      <c r="U322" s="43" t="n"/>
      <c r="V322" s="47" t="n"/>
      <c r="W322" s="47" t="n"/>
      <c r="X322" s="52" t="n"/>
      <c r="Y322" s="43" t="n"/>
      <c r="Z322" s="55">
        <f>IF(OR(Y322="",Q322=""),"",IF(Y322=Q322,"OK","MISMATCH"))</f>
        <v/>
      </c>
      <c r="AA322" s="43" t="n"/>
    </row>
    <row r="323" ht="15" customHeight="1" s="35">
      <c r="A323" s="43" t="n"/>
      <c r="B323" s="47" t="n"/>
      <c r="C323" s="47" t="n"/>
      <c r="D323" s="47" t="n"/>
      <c r="E323" s="43" t="n"/>
      <c r="F323" s="52" t="n"/>
      <c r="G323" s="43" t="n"/>
      <c r="H323" s="51" t="n"/>
      <c r="I323" s="53">
        <f>IF(B323&lt;&gt;"Expected","",IF(C323="Parking Obstruction",IF(G323="Validation",Settings!$B$9,Settings!$B$8),IF(C323="Drinking",IF(G323="Validation",Settings!$B$11,Settings!$B$10),0)))</f>
        <v/>
      </c>
      <c r="J323" s="54">
        <f>IF(OR(B323&lt;&gt;"Expected",D323&lt;&gt;"Violation",H323=""),"",H323+I323+Settings!$B$5)</f>
        <v/>
      </c>
      <c r="K323" s="43" t="n"/>
      <c r="L323" s="51" t="n"/>
      <c r="M323" s="43" t="n"/>
      <c r="N323" s="54">
        <f>IF(AND(B323="Expected",D323="Violation",K323&lt;&gt;"",ISNUMBER(L323),ISNUMBER(H323)),L323-H323-I323,"")</f>
        <v/>
      </c>
      <c r="O323" s="43" t="n"/>
      <c r="P323" s="47" t="n"/>
      <c r="Q323" s="55">
        <f>IF(A323="","",IF(B323="Expected",IF(D323="Violation",IF(H323="","Needs start",IF(AND(K323&lt;&gt;"",OR(M323&lt;&gt;"Monitoring",Settings!$B$7="Yes"),ISNUMBER(L323),L323&lt;=J323),"TP","FN")),IF(AND(K323&lt;&gt;"",OR(M323&lt;&gt;"Monitoring",Settings!$B$7="Yes")),"FP","TN")),IF(P323="","Needs tag",IF(OR(P323="False alarm",P323="Unscripted – false alarm"),"FP",IF(P323="Duplicate","Duplicate",IF(P323="Late (real act)","Late","Excluded"))))))</f>
        <v/>
      </c>
      <c r="R323" s="47" t="n"/>
      <c r="S323" s="43" t="n"/>
      <c r="T323" s="43" t="n"/>
      <c r="U323" s="43" t="n"/>
      <c r="V323" s="47" t="n"/>
      <c r="W323" s="47" t="n"/>
      <c r="X323" s="52" t="n"/>
      <c r="Y323" s="43" t="n"/>
      <c r="Z323" s="55">
        <f>IF(OR(Y323="",Q323=""),"",IF(Y323=Q323,"OK","MISMATCH"))</f>
        <v/>
      </c>
      <c r="AA323" s="43" t="n"/>
    </row>
    <row r="324" ht="15" customHeight="1" s="35">
      <c r="A324" s="43" t="n"/>
      <c r="B324" s="47" t="n"/>
      <c r="C324" s="47" t="n"/>
      <c r="D324" s="47" t="n"/>
      <c r="E324" s="43" t="n"/>
      <c r="F324" s="52" t="n"/>
      <c r="G324" s="43" t="n"/>
      <c r="H324" s="51" t="n"/>
      <c r="I324" s="53">
        <f>IF(B324&lt;&gt;"Expected","",IF(C324="Parking Obstruction",IF(G324="Validation",Settings!$B$9,Settings!$B$8),IF(C324="Drinking",IF(G324="Validation",Settings!$B$11,Settings!$B$10),0)))</f>
        <v/>
      </c>
      <c r="J324" s="54">
        <f>IF(OR(B324&lt;&gt;"Expected",D324&lt;&gt;"Violation",H324=""),"",H324+I324+Settings!$B$5)</f>
        <v/>
      </c>
      <c r="K324" s="43" t="n"/>
      <c r="L324" s="51" t="n"/>
      <c r="M324" s="43" t="n"/>
      <c r="N324" s="54">
        <f>IF(AND(B324="Expected",D324="Violation",K324&lt;&gt;"",ISNUMBER(L324),ISNUMBER(H324)),L324-H324-I324,"")</f>
        <v/>
      </c>
      <c r="O324" s="43" t="n"/>
      <c r="P324" s="47" t="n"/>
      <c r="Q324" s="55">
        <f>IF(A324="","",IF(B324="Expected",IF(D324="Violation",IF(H324="","Needs start",IF(AND(K324&lt;&gt;"",OR(M324&lt;&gt;"Monitoring",Settings!$B$7="Yes"),ISNUMBER(L324),L324&lt;=J324),"TP","FN")),IF(AND(K324&lt;&gt;"",OR(M324&lt;&gt;"Monitoring",Settings!$B$7="Yes")),"FP","TN")),IF(P324="","Needs tag",IF(OR(P324="False alarm",P324="Unscripted – false alarm"),"FP",IF(P324="Duplicate","Duplicate",IF(P324="Late (real act)","Late","Excluded"))))))</f>
        <v/>
      </c>
      <c r="R324" s="47" t="n"/>
      <c r="S324" s="43" t="n"/>
      <c r="T324" s="43" t="n"/>
      <c r="U324" s="43" t="n"/>
      <c r="V324" s="47" t="n"/>
      <c r="W324" s="47" t="n"/>
      <c r="X324" s="52" t="n"/>
      <c r="Y324" s="43" t="n"/>
      <c r="Z324" s="55">
        <f>IF(OR(Y324="",Q324=""),"",IF(Y324=Q324,"OK","MISMATCH"))</f>
        <v/>
      </c>
      <c r="AA324" s="43" t="n"/>
    </row>
    <row r="325" ht="15" customHeight="1" s="35">
      <c r="A325" s="43" t="n"/>
      <c r="B325" s="47" t="n"/>
      <c r="C325" s="47" t="n"/>
      <c r="D325" s="47" t="n"/>
      <c r="E325" s="43" t="n"/>
      <c r="F325" s="52" t="n"/>
      <c r="G325" s="43" t="n"/>
      <c r="H325" s="51" t="n"/>
      <c r="I325" s="53">
        <f>IF(B325&lt;&gt;"Expected","",IF(C325="Parking Obstruction",IF(G325="Validation",Settings!$B$9,Settings!$B$8),IF(C325="Drinking",IF(G325="Validation",Settings!$B$11,Settings!$B$10),0)))</f>
        <v/>
      </c>
      <c r="J325" s="54">
        <f>IF(OR(B325&lt;&gt;"Expected",D325&lt;&gt;"Violation",H325=""),"",H325+I325+Settings!$B$5)</f>
        <v/>
      </c>
      <c r="K325" s="43" t="n"/>
      <c r="L325" s="51" t="n"/>
      <c r="M325" s="43" t="n"/>
      <c r="N325" s="54">
        <f>IF(AND(B325="Expected",D325="Violation",K325&lt;&gt;"",ISNUMBER(L325),ISNUMBER(H325)),L325-H325-I325,"")</f>
        <v/>
      </c>
      <c r="O325" s="43" t="n"/>
      <c r="P325" s="47" t="n"/>
      <c r="Q325" s="55">
        <f>IF(A325="","",IF(B325="Expected",IF(D325="Violation",IF(H325="","Needs start",IF(AND(K325&lt;&gt;"",OR(M325&lt;&gt;"Monitoring",Settings!$B$7="Yes"),ISNUMBER(L325),L325&lt;=J325),"TP","FN")),IF(AND(K325&lt;&gt;"",OR(M325&lt;&gt;"Monitoring",Settings!$B$7="Yes")),"FP","TN")),IF(P325="","Needs tag",IF(OR(P325="False alarm",P325="Unscripted – false alarm"),"FP",IF(P325="Duplicate","Duplicate",IF(P325="Late (real act)","Late","Excluded"))))))</f>
        <v/>
      </c>
      <c r="R325" s="47" t="n"/>
      <c r="S325" s="43" t="n"/>
      <c r="T325" s="43" t="n"/>
      <c r="U325" s="43" t="n"/>
      <c r="V325" s="47" t="n"/>
      <c r="W325" s="47" t="n"/>
      <c r="X325" s="52" t="n"/>
      <c r="Y325" s="43" t="n"/>
      <c r="Z325" s="55">
        <f>IF(OR(Y325="",Q325=""),"",IF(Y325=Q325,"OK","MISMATCH"))</f>
        <v/>
      </c>
      <c r="AA325" s="43" t="n"/>
    </row>
    <row r="326" ht="15" customHeight="1" s="35">
      <c r="A326" s="43" t="n"/>
      <c r="B326" s="47" t="n"/>
      <c r="C326" s="47" t="n"/>
      <c r="D326" s="47" t="n"/>
      <c r="E326" s="43" t="n"/>
      <c r="F326" s="52" t="n"/>
      <c r="G326" s="43" t="n"/>
      <c r="H326" s="51" t="n"/>
      <c r="I326" s="53">
        <f>IF(B326&lt;&gt;"Expected","",IF(C326="Parking Obstruction",IF(G326="Validation",Settings!$B$9,Settings!$B$8),IF(C326="Drinking",IF(G326="Validation",Settings!$B$11,Settings!$B$10),0)))</f>
        <v/>
      </c>
      <c r="J326" s="54">
        <f>IF(OR(B326&lt;&gt;"Expected",D326&lt;&gt;"Violation",H326=""),"",H326+I326+Settings!$B$5)</f>
        <v/>
      </c>
      <c r="K326" s="43" t="n"/>
      <c r="L326" s="51" t="n"/>
      <c r="M326" s="43" t="n"/>
      <c r="N326" s="54">
        <f>IF(AND(B326="Expected",D326="Violation",K326&lt;&gt;"",ISNUMBER(L326),ISNUMBER(H326)),L326-H326-I326,"")</f>
        <v/>
      </c>
      <c r="O326" s="43" t="n"/>
      <c r="P326" s="47" t="n"/>
      <c r="Q326" s="55">
        <f>IF(A326="","",IF(B326="Expected",IF(D326="Violation",IF(H326="","Needs start",IF(AND(K326&lt;&gt;"",OR(M326&lt;&gt;"Monitoring",Settings!$B$7="Yes"),ISNUMBER(L326),L326&lt;=J326),"TP","FN")),IF(AND(K326&lt;&gt;"",OR(M326&lt;&gt;"Monitoring",Settings!$B$7="Yes")),"FP","TN")),IF(P326="","Needs tag",IF(OR(P326="False alarm",P326="Unscripted – false alarm"),"FP",IF(P326="Duplicate","Duplicate",IF(P326="Late (real act)","Late","Excluded"))))))</f>
        <v/>
      </c>
      <c r="R326" s="47" t="n"/>
      <c r="S326" s="43" t="n"/>
      <c r="T326" s="43" t="n"/>
      <c r="U326" s="43" t="n"/>
      <c r="V326" s="47" t="n"/>
      <c r="W326" s="47" t="n"/>
      <c r="X326" s="52" t="n"/>
      <c r="Y326" s="43" t="n"/>
      <c r="Z326" s="55">
        <f>IF(OR(Y326="",Q326=""),"",IF(Y326=Q326,"OK","MISMATCH"))</f>
        <v/>
      </c>
      <c r="AA326" s="43" t="n"/>
    </row>
    <row r="327" ht="15" customHeight="1" s="35">
      <c r="A327" s="43" t="n"/>
      <c r="B327" s="47" t="n"/>
      <c r="C327" s="47" t="n"/>
      <c r="D327" s="47" t="n"/>
      <c r="E327" s="43" t="n"/>
      <c r="F327" s="52" t="n"/>
      <c r="G327" s="43" t="n"/>
      <c r="H327" s="51" t="n"/>
      <c r="I327" s="53">
        <f>IF(B327&lt;&gt;"Expected","",IF(C327="Parking Obstruction",IF(G327="Validation",Settings!$B$9,Settings!$B$8),IF(C327="Drinking",IF(G327="Validation",Settings!$B$11,Settings!$B$10),0)))</f>
        <v/>
      </c>
      <c r="J327" s="54">
        <f>IF(OR(B327&lt;&gt;"Expected",D327&lt;&gt;"Violation",H327=""),"",H327+I327+Settings!$B$5)</f>
        <v/>
      </c>
      <c r="K327" s="43" t="n"/>
      <c r="L327" s="51" t="n"/>
      <c r="M327" s="43" t="n"/>
      <c r="N327" s="54">
        <f>IF(AND(B327="Expected",D327="Violation",K327&lt;&gt;"",ISNUMBER(L327),ISNUMBER(H327)),L327-H327-I327,"")</f>
        <v/>
      </c>
      <c r="O327" s="43" t="n"/>
      <c r="P327" s="47" t="n"/>
      <c r="Q327" s="55">
        <f>IF(A327="","",IF(B327="Expected",IF(D327="Violation",IF(H327="","Needs start",IF(AND(K327&lt;&gt;"",OR(M327&lt;&gt;"Monitoring",Settings!$B$7="Yes"),ISNUMBER(L327),L327&lt;=J327),"TP","FN")),IF(AND(K327&lt;&gt;"",OR(M327&lt;&gt;"Monitoring",Settings!$B$7="Yes")),"FP","TN")),IF(P327="","Needs tag",IF(OR(P327="False alarm",P327="Unscripted – false alarm"),"FP",IF(P327="Duplicate","Duplicate",IF(P327="Late (real act)","Late","Excluded"))))))</f>
        <v/>
      </c>
      <c r="R327" s="47" t="n"/>
      <c r="S327" s="43" t="n"/>
      <c r="T327" s="43" t="n"/>
      <c r="U327" s="43" t="n"/>
      <c r="V327" s="47" t="n"/>
      <c r="W327" s="47" t="n"/>
      <c r="X327" s="52" t="n"/>
      <c r="Y327" s="43" t="n"/>
      <c r="Z327" s="55">
        <f>IF(OR(Y327="",Q327=""),"",IF(Y327=Q327,"OK","MISMATCH"))</f>
        <v/>
      </c>
      <c r="AA327" s="43" t="n"/>
    </row>
    <row r="328" ht="15" customHeight="1" s="35">
      <c r="A328" s="43" t="n"/>
      <c r="B328" s="47" t="n"/>
      <c r="C328" s="47" t="n"/>
      <c r="D328" s="47" t="n"/>
      <c r="E328" s="43" t="n"/>
      <c r="F328" s="52" t="n"/>
      <c r="G328" s="43" t="n"/>
      <c r="H328" s="51" t="n"/>
      <c r="I328" s="53">
        <f>IF(B328&lt;&gt;"Expected","",IF(C328="Parking Obstruction",IF(G328="Validation",Settings!$B$9,Settings!$B$8),IF(C328="Drinking",IF(G328="Validation",Settings!$B$11,Settings!$B$10),0)))</f>
        <v/>
      </c>
      <c r="J328" s="54">
        <f>IF(OR(B328&lt;&gt;"Expected",D328&lt;&gt;"Violation",H328=""),"",H328+I328+Settings!$B$5)</f>
        <v/>
      </c>
      <c r="K328" s="43" t="n"/>
      <c r="L328" s="51" t="n"/>
      <c r="M328" s="43" t="n"/>
      <c r="N328" s="54">
        <f>IF(AND(B328="Expected",D328="Violation",K328&lt;&gt;"",ISNUMBER(L328),ISNUMBER(H328)),L328-H328-I328,"")</f>
        <v/>
      </c>
      <c r="O328" s="43" t="n"/>
      <c r="P328" s="47" t="n"/>
      <c r="Q328" s="55">
        <f>IF(A328="","",IF(B328="Expected",IF(D328="Violation",IF(H328="","Needs start",IF(AND(K328&lt;&gt;"",OR(M328&lt;&gt;"Monitoring",Settings!$B$7="Yes"),ISNUMBER(L328),L328&lt;=J328),"TP","FN")),IF(AND(K328&lt;&gt;"",OR(M328&lt;&gt;"Monitoring",Settings!$B$7="Yes")),"FP","TN")),IF(P328="","Needs tag",IF(OR(P328="False alarm",P328="Unscripted – false alarm"),"FP",IF(P328="Duplicate","Duplicate",IF(P328="Late (real act)","Late","Excluded"))))))</f>
        <v/>
      </c>
      <c r="R328" s="47" t="n"/>
      <c r="S328" s="43" t="n"/>
      <c r="T328" s="43" t="n"/>
      <c r="U328" s="43" t="n"/>
      <c r="V328" s="47" t="n"/>
      <c r="W328" s="47" t="n"/>
      <c r="X328" s="52" t="n"/>
      <c r="Y328" s="43" t="n"/>
      <c r="Z328" s="55">
        <f>IF(OR(Y328="",Q328=""),"",IF(Y328=Q328,"OK","MISMATCH"))</f>
        <v/>
      </c>
      <c r="AA328" s="43" t="n"/>
    </row>
    <row r="329" ht="15" customHeight="1" s="35">
      <c r="A329" s="43" t="n"/>
      <c r="B329" s="47" t="n"/>
      <c r="C329" s="47" t="n"/>
      <c r="D329" s="47" t="n"/>
      <c r="E329" s="43" t="n"/>
      <c r="F329" s="52" t="n"/>
      <c r="G329" s="43" t="n"/>
      <c r="H329" s="51" t="n"/>
      <c r="I329" s="53">
        <f>IF(B329&lt;&gt;"Expected","",IF(C329="Parking Obstruction",IF(G329="Validation",Settings!$B$9,Settings!$B$8),IF(C329="Drinking",IF(G329="Validation",Settings!$B$11,Settings!$B$10),0)))</f>
        <v/>
      </c>
      <c r="J329" s="54">
        <f>IF(OR(B329&lt;&gt;"Expected",D329&lt;&gt;"Violation",H329=""),"",H329+I329+Settings!$B$5)</f>
        <v/>
      </c>
      <c r="K329" s="43" t="n"/>
      <c r="L329" s="51" t="n"/>
      <c r="M329" s="43" t="n"/>
      <c r="N329" s="54">
        <f>IF(AND(B329="Expected",D329="Violation",K329&lt;&gt;"",ISNUMBER(L329),ISNUMBER(H329)),L329-H329-I329,"")</f>
        <v/>
      </c>
      <c r="O329" s="43" t="n"/>
      <c r="P329" s="47" t="n"/>
      <c r="Q329" s="55">
        <f>IF(A329="","",IF(B329="Expected",IF(D329="Violation",IF(H329="","Needs start",IF(AND(K329&lt;&gt;"",OR(M329&lt;&gt;"Monitoring",Settings!$B$7="Yes"),ISNUMBER(L329),L329&lt;=J329),"TP","FN")),IF(AND(K329&lt;&gt;"",OR(M329&lt;&gt;"Monitoring",Settings!$B$7="Yes")),"FP","TN")),IF(P329="","Needs tag",IF(OR(P329="False alarm",P329="Unscripted – false alarm"),"FP",IF(P329="Duplicate","Duplicate",IF(P329="Late (real act)","Late","Excluded"))))))</f>
        <v/>
      </c>
      <c r="R329" s="47" t="n"/>
      <c r="S329" s="43" t="n"/>
      <c r="T329" s="43" t="n"/>
      <c r="U329" s="43" t="n"/>
      <c r="V329" s="47" t="n"/>
      <c r="W329" s="47" t="n"/>
      <c r="X329" s="52" t="n"/>
      <c r="Y329" s="43" t="n"/>
      <c r="Z329" s="55">
        <f>IF(OR(Y329="",Q329=""),"",IF(Y329=Q329,"OK","MISMATCH"))</f>
        <v/>
      </c>
      <c r="AA329" s="43" t="n"/>
    </row>
    <row r="330" ht="15" customHeight="1" s="35">
      <c r="A330" s="43" t="n"/>
      <c r="B330" s="47" t="n"/>
      <c r="C330" s="47" t="n"/>
      <c r="D330" s="47" t="n"/>
      <c r="E330" s="43" t="n"/>
      <c r="F330" s="52" t="n"/>
      <c r="G330" s="43" t="n"/>
      <c r="H330" s="51" t="n"/>
      <c r="I330" s="53">
        <f>IF(B330&lt;&gt;"Expected","",IF(C330="Parking Obstruction",IF(G330="Validation",Settings!$B$9,Settings!$B$8),IF(C330="Drinking",IF(G330="Validation",Settings!$B$11,Settings!$B$10),0)))</f>
        <v/>
      </c>
      <c r="J330" s="54">
        <f>IF(OR(B330&lt;&gt;"Expected",D330&lt;&gt;"Violation",H330=""),"",H330+I330+Settings!$B$5)</f>
        <v/>
      </c>
      <c r="K330" s="43" t="n"/>
      <c r="L330" s="51" t="n"/>
      <c r="M330" s="43" t="n"/>
      <c r="N330" s="54">
        <f>IF(AND(B330="Expected",D330="Violation",K330&lt;&gt;"",ISNUMBER(L330),ISNUMBER(H330)),L330-H330-I330,"")</f>
        <v/>
      </c>
      <c r="O330" s="43" t="n"/>
      <c r="P330" s="47" t="n"/>
      <c r="Q330" s="55">
        <f>IF(A330="","",IF(B330="Expected",IF(D330="Violation",IF(H330="","Needs start",IF(AND(K330&lt;&gt;"",OR(M330&lt;&gt;"Monitoring",Settings!$B$7="Yes"),ISNUMBER(L330),L330&lt;=J330),"TP","FN")),IF(AND(K330&lt;&gt;"",OR(M330&lt;&gt;"Monitoring",Settings!$B$7="Yes")),"FP","TN")),IF(P330="","Needs tag",IF(OR(P330="False alarm",P330="Unscripted – false alarm"),"FP",IF(P330="Duplicate","Duplicate",IF(P330="Late (real act)","Late","Excluded"))))))</f>
        <v/>
      </c>
      <c r="R330" s="47" t="n"/>
      <c r="S330" s="43" t="n"/>
      <c r="T330" s="43" t="n"/>
      <c r="U330" s="43" t="n"/>
      <c r="V330" s="47" t="n"/>
      <c r="W330" s="47" t="n"/>
      <c r="X330" s="52" t="n"/>
      <c r="Y330" s="43" t="n"/>
      <c r="Z330" s="55">
        <f>IF(OR(Y330="",Q330=""),"",IF(Y330=Q330,"OK","MISMATCH"))</f>
        <v/>
      </c>
      <c r="AA330" s="43" t="n"/>
    </row>
    <row r="331" ht="15" customHeight="1" s="35">
      <c r="A331" s="43" t="n"/>
      <c r="B331" s="47" t="n"/>
      <c r="C331" s="47" t="n"/>
      <c r="D331" s="47" t="n"/>
      <c r="E331" s="43" t="n"/>
      <c r="F331" s="52" t="n"/>
      <c r="G331" s="43" t="n"/>
      <c r="H331" s="51" t="n"/>
      <c r="I331" s="53">
        <f>IF(B331&lt;&gt;"Expected","",IF(C331="Parking Obstruction",IF(G331="Validation",Settings!$B$9,Settings!$B$8),IF(C331="Drinking",IF(G331="Validation",Settings!$B$11,Settings!$B$10),0)))</f>
        <v/>
      </c>
      <c r="J331" s="54">
        <f>IF(OR(B331&lt;&gt;"Expected",D331&lt;&gt;"Violation",H331=""),"",H331+I331+Settings!$B$5)</f>
        <v/>
      </c>
      <c r="K331" s="43" t="n"/>
      <c r="L331" s="51" t="n"/>
      <c r="M331" s="43" t="n"/>
      <c r="N331" s="54">
        <f>IF(AND(B331="Expected",D331="Violation",K331&lt;&gt;"",ISNUMBER(L331),ISNUMBER(H331)),L331-H331-I331,"")</f>
        <v/>
      </c>
      <c r="O331" s="43" t="n"/>
      <c r="P331" s="47" t="n"/>
      <c r="Q331" s="55">
        <f>IF(A331="","",IF(B331="Expected",IF(D331="Violation",IF(H331="","Needs start",IF(AND(K331&lt;&gt;"",OR(M331&lt;&gt;"Monitoring",Settings!$B$7="Yes"),ISNUMBER(L331),L331&lt;=J331),"TP","FN")),IF(AND(K331&lt;&gt;"",OR(M331&lt;&gt;"Monitoring",Settings!$B$7="Yes")),"FP","TN")),IF(P331="","Needs tag",IF(OR(P331="False alarm",P331="Unscripted – false alarm"),"FP",IF(P331="Duplicate","Duplicate",IF(P331="Late (real act)","Late","Excluded"))))))</f>
        <v/>
      </c>
      <c r="R331" s="47" t="n"/>
      <c r="S331" s="43" t="n"/>
      <c r="T331" s="43" t="n"/>
      <c r="U331" s="43" t="n"/>
      <c r="V331" s="47" t="n"/>
      <c r="W331" s="47" t="n"/>
      <c r="X331" s="52" t="n"/>
      <c r="Y331" s="43" t="n"/>
      <c r="Z331" s="55">
        <f>IF(OR(Y331="",Q331=""),"",IF(Y331=Q331,"OK","MISMATCH"))</f>
        <v/>
      </c>
      <c r="AA331" s="43" t="n"/>
    </row>
    <row r="332" ht="15" customHeight="1" s="35">
      <c r="A332" s="43" t="n"/>
      <c r="B332" s="47" t="n"/>
      <c r="C332" s="47" t="n"/>
      <c r="D332" s="47" t="n"/>
      <c r="E332" s="43" t="n"/>
      <c r="F332" s="52" t="n"/>
      <c r="G332" s="43" t="n"/>
      <c r="H332" s="51" t="n"/>
      <c r="I332" s="53">
        <f>IF(B332&lt;&gt;"Expected","",IF(C332="Parking Obstruction",IF(G332="Validation",Settings!$B$9,Settings!$B$8),IF(C332="Drinking",IF(G332="Validation",Settings!$B$11,Settings!$B$10),0)))</f>
        <v/>
      </c>
      <c r="J332" s="54">
        <f>IF(OR(B332&lt;&gt;"Expected",D332&lt;&gt;"Violation",H332=""),"",H332+I332+Settings!$B$5)</f>
        <v/>
      </c>
      <c r="K332" s="43" t="n"/>
      <c r="L332" s="51" t="n"/>
      <c r="M332" s="43" t="n"/>
      <c r="N332" s="54">
        <f>IF(AND(B332="Expected",D332="Violation",K332&lt;&gt;"",ISNUMBER(L332),ISNUMBER(H332)),L332-H332-I332,"")</f>
        <v/>
      </c>
      <c r="O332" s="43" t="n"/>
      <c r="P332" s="47" t="n"/>
      <c r="Q332" s="55">
        <f>IF(A332="","",IF(B332="Expected",IF(D332="Violation",IF(H332="","Needs start",IF(AND(K332&lt;&gt;"",OR(M332&lt;&gt;"Monitoring",Settings!$B$7="Yes"),ISNUMBER(L332),L332&lt;=J332),"TP","FN")),IF(AND(K332&lt;&gt;"",OR(M332&lt;&gt;"Monitoring",Settings!$B$7="Yes")),"FP","TN")),IF(P332="","Needs tag",IF(OR(P332="False alarm",P332="Unscripted – false alarm"),"FP",IF(P332="Duplicate","Duplicate",IF(P332="Late (real act)","Late","Excluded"))))))</f>
        <v/>
      </c>
      <c r="R332" s="47" t="n"/>
      <c r="S332" s="43" t="n"/>
      <c r="T332" s="43" t="n"/>
      <c r="U332" s="43" t="n"/>
      <c r="V332" s="47" t="n"/>
      <c r="W332" s="47" t="n"/>
      <c r="X332" s="52" t="n"/>
      <c r="Y332" s="43" t="n"/>
      <c r="Z332" s="55">
        <f>IF(OR(Y332="",Q332=""),"",IF(Y332=Q332,"OK","MISMATCH"))</f>
        <v/>
      </c>
      <c r="AA332" s="43" t="n"/>
    </row>
    <row r="333" ht="15" customHeight="1" s="35">
      <c r="A333" s="43" t="n"/>
      <c r="B333" s="47" t="n"/>
      <c r="C333" s="47" t="n"/>
      <c r="D333" s="47" t="n"/>
      <c r="E333" s="43" t="n"/>
      <c r="F333" s="52" t="n"/>
      <c r="G333" s="43" t="n"/>
      <c r="H333" s="51" t="n"/>
      <c r="I333" s="53">
        <f>IF(B333&lt;&gt;"Expected","",IF(C333="Parking Obstruction",IF(G333="Validation",Settings!$B$9,Settings!$B$8),IF(C333="Drinking",IF(G333="Validation",Settings!$B$11,Settings!$B$10),0)))</f>
        <v/>
      </c>
      <c r="J333" s="54">
        <f>IF(OR(B333&lt;&gt;"Expected",D333&lt;&gt;"Violation",H333=""),"",H333+I333+Settings!$B$5)</f>
        <v/>
      </c>
      <c r="K333" s="43" t="n"/>
      <c r="L333" s="51" t="n"/>
      <c r="M333" s="43" t="n"/>
      <c r="N333" s="54">
        <f>IF(AND(B333="Expected",D333="Violation",K333&lt;&gt;"",ISNUMBER(L333),ISNUMBER(H333)),L333-H333-I333,"")</f>
        <v/>
      </c>
      <c r="O333" s="43" t="n"/>
      <c r="P333" s="47" t="n"/>
      <c r="Q333" s="55">
        <f>IF(A333="","",IF(B333="Expected",IF(D333="Violation",IF(H333="","Needs start",IF(AND(K333&lt;&gt;"",OR(M333&lt;&gt;"Monitoring",Settings!$B$7="Yes"),ISNUMBER(L333),L333&lt;=J333),"TP","FN")),IF(AND(K333&lt;&gt;"",OR(M333&lt;&gt;"Monitoring",Settings!$B$7="Yes")),"FP","TN")),IF(P333="","Needs tag",IF(OR(P333="False alarm",P333="Unscripted – false alarm"),"FP",IF(P333="Duplicate","Duplicate",IF(P333="Late (real act)","Late","Excluded"))))))</f>
        <v/>
      </c>
      <c r="R333" s="47" t="n"/>
      <c r="S333" s="43" t="n"/>
      <c r="T333" s="43" t="n"/>
      <c r="U333" s="43" t="n"/>
      <c r="V333" s="47" t="n"/>
      <c r="W333" s="47" t="n"/>
      <c r="X333" s="52" t="n"/>
      <c r="Y333" s="43" t="n"/>
      <c r="Z333" s="55">
        <f>IF(OR(Y333="",Q333=""),"",IF(Y333=Q333,"OK","MISMATCH"))</f>
        <v/>
      </c>
      <c r="AA333" s="43" t="n"/>
    </row>
    <row r="334" ht="15" customHeight="1" s="35">
      <c r="A334" s="43" t="n"/>
      <c r="B334" s="47" t="n"/>
      <c r="C334" s="47" t="n"/>
      <c r="D334" s="47" t="n"/>
      <c r="E334" s="43" t="n"/>
      <c r="F334" s="52" t="n"/>
      <c r="G334" s="43" t="n"/>
      <c r="H334" s="51" t="n"/>
      <c r="I334" s="53">
        <f>IF(B334&lt;&gt;"Expected","",IF(C334="Parking Obstruction",IF(G334="Validation",Settings!$B$9,Settings!$B$8),IF(C334="Drinking",IF(G334="Validation",Settings!$B$11,Settings!$B$10),0)))</f>
        <v/>
      </c>
      <c r="J334" s="54">
        <f>IF(OR(B334&lt;&gt;"Expected",D334&lt;&gt;"Violation",H334=""),"",H334+I334+Settings!$B$5)</f>
        <v/>
      </c>
      <c r="K334" s="43" t="n"/>
      <c r="L334" s="51" t="n"/>
      <c r="M334" s="43" t="n"/>
      <c r="N334" s="54">
        <f>IF(AND(B334="Expected",D334="Violation",K334&lt;&gt;"",ISNUMBER(L334),ISNUMBER(H334)),L334-H334-I334,"")</f>
        <v/>
      </c>
      <c r="O334" s="43" t="n"/>
      <c r="P334" s="47" t="n"/>
      <c r="Q334" s="55">
        <f>IF(A334="","",IF(B334="Expected",IF(D334="Violation",IF(H334="","Needs start",IF(AND(K334&lt;&gt;"",OR(M334&lt;&gt;"Monitoring",Settings!$B$7="Yes"),ISNUMBER(L334),L334&lt;=J334),"TP","FN")),IF(AND(K334&lt;&gt;"",OR(M334&lt;&gt;"Monitoring",Settings!$B$7="Yes")),"FP","TN")),IF(P334="","Needs tag",IF(OR(P334="False alarm",P334="Unscripted – false alarm"),"FP",IF(P334="Duplicate","Duplicate",IF(P334="Late (real act)","Late","Excluded"))))))</f>
        <v/>
      </c>
      <c r="R334" s="47" t="n"/>
      <c r="S334" s="43" t="n"/>
      <c r="T334" s="43" t="n"/>
      <c r="U334" s="43" t="n"/>
      <c r="V334" s="47" t="n"/>
      <c r="W334" s="47" t="n"/>
      <c r="X334" s="52" t="n"/>
      <c r="Y334" s="43" t="n"/>
      <c r="Z334" s="55">
        <f>IF(OR(Y334="",Q334=""),"",IF(Y334=Q334,"OK","MISMATCH"))</f>
        <v/>
      </c>
      <c r="AA334" s="43" t="n"/>
    </row>
    <row r="335" ht="15" customHeight="1" s="35">
      <c r="A335" s="43" t="n"/>
      <c r="B335" s="47" t="n"/>
      <c r="C335" s="47" t="n"/>
      <c r="D335" s="47" t="n"/>
      <c r="E335" s="43" t="n"/>
      <c r="F335" s="52" t="n"/>
      <c r="G335" s="43" t="n"/>
      <c r="H335" s="51" t="n"/>
      <c r="I335" s="53">
        <f>IF(B335&lt;&gt;"Expected","",IF(C335="Parking Obstruction",IF(G335="Validation",Settings!$B$9,Settings!$B$8),IF(C335="Drinking",IF(G335="Validation",Settings!$B$11,Settings!$B$10),0)))</f>
        <v/>
      </c>
      <c r="J335" s="54">
        <f>IF(OR(B335&lt;&gt;"Expected",D335&lt;&gt;"Violation",H335=""),"",H335+I335+Settings!$B$5)</f>
        <v/>
      </c>
      <c r="K335" s="43" t="n"/>
      <c r="L335" s="51" t="n"/>
      <c r="M335" s="43" t="n"/>
      <c r="N335" s="54">
        <f>IF(AND(B335="Expected",D335="Violation",K335&lt;&gt;"",ISNUMBER(L335),ISNUMBER(H335)),L335-H335-I335,"")</f>
        <v/>
      </c>
      <c r="O335" s="43" t="n"/>
      <c r="P335" s="47" t="n"/>
      <c r="Q335" s="55">
        <f>IF(A335="","",IF(B335="Expected",IF(D335="Violation",IF(H335="","Needs start",IF(AND(K335&lt;&gt;"",OR(M335&lt;&gt;"Monitoring",Settings!$B$7="Yes"),ISNUMBER(L335),L335&lt;=J335),"TP","FN")),IF(AND(K335&lt;&gt;"",OR(M335&lt;&gt;"Monitoring",Settings!$B$7="Yes")),"FP","TN")),IF(P335="","Needs tag",IF(OR(P335="False alarm",P335="Unscripted – false alarm"),"FP",IF(P335="Duplicate","Duplicate",IF(P335="Late (real act)","Late","Excluded"))))))</f>
        <v/>
      </c>
      <c r="R335" s="47" t="n"/>
      <c r="S335" s="43" t="n"/>
      <c r="T335" s="43" t="n"/>
      <c r="U335" s="43" t="n"/>
      <c r="V335" s="47" t="n"/>
      <c r="W335" s="47" t="n"/>
      <c r="X335" s="52" t="n"/>
      <c r="Y335" s="43" t="n"/>
      <c r="Z335" s="55">
        <f>IF(OR(Y335="",Q335=""),"",IF(Y335=Q335,"OK","MISMATCH"))</f>
        <v/>
      </c>
      <c r="AA335" s="43" t="n"/>
    </row>
    <row r="336" ht="15" customHeight="1" s="35">
      <c r="A336" s="43" t="n"/>
      <c r="B336" s="47" t="n"/>
      <c r="C336" s="47" t="n"/>
      <c r="D336" s="47" t="n"/>
      <c r="E336" s="43" t="n"/>
      <c r="F336" s="52" t="n"/>
      <c r="G336" s="43" t="n"/>
      <c r="H336" s="51" t="n"/>
      <c r="I336" s="53">
        <f>IF(B336&lt;&gt;"Expected","",IF(C336="Parking Obstruction",IF(G336="Validation",Settings!$B$9,Settings!$B$8),IF(C336="Drinking",IF(G336="Validation",Settings!$B$11,Settings!$B$10),0)))</f>
        <v/>
      </c>
      <c r="J336" s="54">
        <f>IF(OR(B336&lt;&gt;"Expected",D336&lt;&gt;"Violation",H336=""),"",H336+I336+Settings!$B$5)</f>
        <v/>
      </c>
      <c r="K336" s="43" t="n"/>
      <c r="L336" s="51" t="n"/>
      <c r="M336" s="43" t="n"/>
      <c r="N336" s="54">
        <f>IF(AND(B336="Expected",D336="Violation",K336&lt;&gt;"",ISNUMBER(L336),ISNUMBER(H336)),L336-H336-I336,"")</f>
        <v/>
      </c>
      <c r="O336" s="43" t="n"/>
      <c r="P336" s="47" t="n"/>
      <c r="Q336" s="55">
        <f>IF(A336="","",IF(B336="Expected",IF(D336="Violation",IF(H336="","Needs start",IF(AND(K336&lt;&gt;"",OR(M336&lt;&gt;"Monitoring",Settings!$B$7="Yes"),ISNUMBER(L336),L336&lt;=J336),"TP","FN")),IF(AND(K336&lt;&gt;"",OR(M336&lt;&gt;"Monitoring",Settings!$B$7="Yes")),"FP","TN")),IF(P336="","Needs tag",IF(OR(P336="False alarm",P336="Unscripted – false alarm"),"FP",IF(P336="Duplicate","Duplicate",IF(P336="Late (real act)","Late","Excluded"))))))</f>
        <v/>
      </c>
      <c r="R336" s="47" t="n"/>
      <c r="S336" s="43" t="n"/>
      <c r="T336" s="43" t="n"/>
      <c r="U336" s="43" t="n"/>
      <c r="V336" s="47" t="n"/>
      <c r="W336" s="47" t="n"/>
      <c r="X336" s="52" t="n"/>
      <c r="Y336" s="43" t="n"/>
      <c r="Z336" s="55">
        <f>IF(OR(Y336="",Q336=""),"",IF(Y336=Q336,"OK","MISMATCH"))</f>
        <v/>
      </c>
      <c r="AA336" s="43" t="n"/>
    </row>
    <row r="337" ht="15" customHeight="1" s="35">
      <c r="A337" s="43" t="n"/>
      <c r="B337" s="47" t="n"/>
      <c r="C337" s="47" t="n"/>
      <c r="D337" s="47" t="n"/>
      <c r="E337" s="43" t="n"/>
      <c r="F337" s="52" t="n"/>
      <c r="G337" s="43" t="n"/>
      <c r="H337" s="51" t="n"/>
      <c r="I337" s="53">
        <f>IF(B337&lt;&gt;"Expected","",IF(C337="Parking Obstruction",IF(G337="Validation",Settings!$B$9,Settings!$B$8),IF(C337="Drinking",IF(G337="Validation",Settings!$B$11,Settings!$B$10),0)))</f>
        <v/>
      </c>
      <c r="J337" s="54">
        <f>IF(OR(B337&lt;&gt;"Expected",D337&lt;&gt;"Violation",H337=""),"",H337+I337+Settings!$B$5)</f>
        <v/>
      </c>
      <c r="K337" s="43" t="n"/>
      <c r="L337" s="51" t="n"/>
      <c r="M337" s="43" t="n"/>
      <c r="N337" s="54">
        <f>IF(AND(B337="Expected",D337="Violation",K337&lt;&gt;"",ISNUMBER(L337),ISNUMBER(H337)),L337-H337-I337,"")</f>
        <v/>
      </c>
      <c r="O337" s="43" t="n"/>
      <c r="P337" s="47" t="n"/>
      <c r="Q337" s="55">
        <f>IF(A337="","",IF(B337="Expected",IF(D337="Violation",IF(H337="","Needs start",IF(AND(K337&lt;&gt;"",OR(M337&lt;&gt;"Monitoring",Settings!$B$7="Yes"),ISNUMBER(L337),L337&lt;=J337),"TP","FN")),IF(AND(K337&lt;&gt;"",OR(M337&lt;&gt;"Monitoring",Settings!$B$7="Yes")),"FP","TN")),IF(P337="","Needs tag",IF(OR(P337="False alarm",P337="Unscripted – false alarm"),"FP",IF(P337="Duplicate","Duplicate",IF(P337="Late (real act)","Late","Excluded"))))))</f>
        <v/>
      </c>
      <c r="R337" s="47" t="n"/>
      <c r="S337" s="43" t="n"/>
      <c r="T337" s="43" t="n"/>
      <c r="U337" s="43" t="n"/>
      <c r="V337" s="47" t="n"/>
      <c r="W337" s="47" t="n"/>
      <c r="X337" s="52" t="n"/>
      <c r="Y337" s="43" t="n"/>
      <c r="Z337" s="55">
        <f>IF(OR(Y337="",Q337=""),"",IF(Y337=Q337,"OK","MISMATCH"))</f>
        <v/>
      </c>
      <c r="AA337" s="43" t="n"/>
    </row>
    <row r="338" ht="15" customHeight="1" s="35">
      <c r="A338" s="43" t="n"/>
      <c r="B338" s="47" t="n"/>
      <c r="C338" s="47" t="n"/>
      <c r="D338" s="47" t="n"/>
      <c r="E338" s="43" t="n"/>
      <c r="F338" s="52" t="n"/>
      <c r="G338" s="43" t="n"/>
      <c r="H338" s="51" t="n"/>
      <c r="I338" s="53">
        <f>IF(B338&lt;&gt;"Expected","",IF(C338="Parking Obstruction",IF(G338="Validation",Settings!$B$9,Settings!$B$8),IF(C338="Drinking",IF(G338="Validation",Settings!$B$11,Settings!$B$10),0)))</f>
        <v/>
      </c>
      <c r="J338" s="54">
        <f>IF(OR(B338&lt;&gt;"Expected",D338&lt;&gt;"Violation",H338=""),"",H338+I338+Settings!$B$5)</f>
        <v/>
      </c>
      <c r="K338" s="43" t="n"/>
      <c r="L338" s="51" t="n"/>
      <c r="M338" s="43" t="n"/>
      <c r="N338" s="54">
        <f>IF(AND(B338="Expected",D338="Violation",K338&lt;&gt;"",ISNUMBER(L338),ISNUMBER(H338)),L338-H338-I338,"")</f>
        <v/>
      </c>
      <c r="O338" s="43" t="n"/>
      <c r="P338" s="47" t="n"/>
      <c r="Q338" s="55">
        <f>IF(A338="","",IF(B338="Expected",IF(D338="Violation",IF(H338="","Needs start",IF(AND(K338&lt;&gt;"",OR(M338&lt;&gt;"Monitoring",Settings!$B$7="Yes"),ISNUMBER(L338),L338&lt;=J338),"TP","FN")),IF(AND(K338&lt;&gt;"",OR(M338&lt;&gt;"Monitoring",Settings!$B$7="Yes")),"FP","TN")),IF(P338="","Needs tag",IF(OR(P338="False alarm",P338="Unscripted – false alarm"),"FP",IF(P338="Duplicate","Duplicate",IF(P338="Late (real act)","Late","Excluded"))))))</f>
        <v/>
      </c>
      <c r="R338" s="47" t="n"/>
      <c r="S338" s="43" t="n"/>
      <c r="T338" s="43" t="n"/>
      <c r="U338" s="43" t="n"/>
      <c r="V338" s="47" t="n"/>
      <c r="W338" s="47" t="n"/>
      <c r="X338" s="52" t="n"/>
      <c r="Y338" s="43" t="n"/>
      <c r="Z338" s="55">
        <f>IF(OR(Y338="",Q338=""),"",IF(Y338=Q338,"OK","MISMATCH"))</f>
        <v/>
      </c>
      <c r="AA338" s="43" t="n"/>
    </row>
    <row r="339" ht="15" customHeight="1" s="35">
      <c r="A339" s="43" t="n"/>
      <c r="B339" s="47" t="n"/>
      <c r="C339" s="47" t="n"/>
      <c r="D339" s="47" t="n"/>
      <c r="E339" s="43" t="n"/>
      <c r="F339" s="52" t="n"/>
      <c r="G339" s="43" t="n"/>
      <c r="H339" s="51" t="n"/>
      <c r="I339" s="53">
        <f>IF(B339&lt;&gt;"Expected","",IF(C339="Parking Obstruction",IF(G339="Validation",Settings!$B$9,Settings!$B$8),IF(C339="Drinking",IF(G339="Validation",Settings!$B$11,Settings!$B$10),0)))</f>
        <v/>
      </c>
      <c r="J339" s="54">
        <f>IF(OR(B339&lt;&gt;"Expected",D339&lt;&gt;"Violation",H339=""),"",H339+I339+Settings!$B$5)</f>
        <v/>
      </c>
      <c r="K339" s="43" t="n"/>
      <c r="L339" s="51" t="n"/>
      <c r="M339" s="43" t="n"/>
      <c r="N339" s="54">
        <f>IF(AND(B339="Expected",D339="Violation",K339&lt;&gt;"",ISNUMBER(L339),ISNUMBER(H339)),L339-H339-I339,"")</f>
        <v/>
      </c>
      <c r="O339" s="43" t="n"/>
      <c r="P339" s="47" t="n"/>
      <c r="Q339" s="55">
        <f>IF(A339="","",IF(B339="Expected",IF(D339="Violation",IF(H339="","Needs start",IF(AND(K339&lt;&gt;"",OR(M339&lt;&gt;"Monitoring",Settings!$B$7="Yes"),ISNUMBER(L339),L339&lt;=J339),"TP","FN")),IF(AND(K339&lt;&gt;"",OR(M339&lt;&gt;"Monitoring",Settings!$B$7="Yes")),"FP","TN")),IF(P339="","Needs tag",IF(OR(P339="False alarm",P339="Unscripted – false alarm"),"FP",IF(P339="Duplicate","Duplicate",IF(P339="Late (real act)","Late","Excluded"))))))</f>
        <v/>
      </c>
      <c r="R339" s="47" t="n"/>
      <c r="S339" s="43" t="n"/>
      <c r="T339" s="43" t="n"/>
      <c r="U339" s="43" t="n"/>
      <c r="V339" s="47" t="n"/>
      <c r="W339" s="47" t="n"/>
      <c r="X339" s="52" t="n"/>
      <c r="Y339" s="43" t="n"/>
      <c r="Z339" s="55">
        <f>IF(OR(Y339="",Q339=""),"",IF(Y339=Q339,"OK","MISMATCH"))</f>
        <v/>
      </c>
      <c r="AA339" s="43" t="n"/>
    </row>
    <row r="340" ht="15" customHeight="1" s="35">
      <c r="A340" s="43" t="n"/>
      <c r="B340" s="47" t="n"/>
      <c r="C340" s="47" t="n"/>
      <c r="D340" s="47" t="n"/>
      <c r="E340" s="43" t="n"/>
      <c r="F340" s="52" t="n"/>
      <c r="G340" s="43" t="n"/>
      <c r="H340" s="51" t="n"/>
      <c r="I340" s="53">
        <f>IF(B340&lt;&gt;"Expected","",IF(C340="Parking Obstruction",IF(G340="Validation",Settings!$B$9,Settings!$B$8),IF(C340="Drinking",IF(G340="Validation",Settings!$B$11,Settings!$B$10),0)))</f>
        <v/>
      </c>
      <c r="J340" s="54">
        <f>IF(OR(B340&lt;&gt;"Expected",D340&lt;&gt;"Violation",H340=""),"",H340+I340+Settings!$B$5)</f>
        <v/>
      </c>
      <c r="K340" s="43" t="n"/>
      <c r="L340" s="51" t="n"/>
      <c r="M340" s="43" t="n"/>
      <c r="N340" s="54">
        <f>IF(AND(B340="Expected",D340="Violation",K340&lt;&gt;"",ISNUMBER(L340),ISNUMBER(H340)),L340-H340-I340,"")</f>
        <v/>
      </c>
      <c r="O340" s="43" t="n"/>
      <c r="P340" s="47" t="n"/>
      <c r="Q340" s="55">
        <f>IF(A340="","",IF(B340="Expected",IF(D340="Violation",IF(H340="","Needs start",IF(AND(K340&lt;&gt;"",OR(M340&lt;&gt;"Monitoring",Settings!$B$7="Yes"),ISNUMBER(L340),L340&lt;=J340),"TP","FN")),IF(AND(K340&lt;&gt;"",OR(M340&lt;&gt;"Monitoring",Settings!$B$7="Yes")),"FP","TN")),IF(P340="","Needs tag",IF(OR(P340="False alarm",P340="Unscripted – false alarm"),"FP",IF(P340="Duplicate","Duplicate",IF(P340="Late (real act)","Late","Excluded"))))))</f>
        <v/>
      </c>
      <c r="R340" s="47" t="n"/>
      <c r="S340" s="43" t="n"/>
      <c r="T340" s="43" t="n"/>
      <c r="U340" s="43" t="n"/>
      <c r="V340" s="47" t="n"/>
      <c r="W340" s="47" t="n"/>
      <c r="X340" s="52" t="n"/>
      <c r="Y340" s="43" t="n"/>
      <c r="Z340" s="55">
        <f>IF(OR(Y340="",Q340=""),"",IF(Y340=Q340,"OK","MISMATCH"))</f>
        <v/>
      </c>
      <c r="AA340" s="43" t="n"/>
    </row>
    <row r="341" ht="15" customHeight="1" s="35">
      <c r="A341" s="43" t="n"/>
      <c r="B341" s="47" t="n"/>
      <c r="C341" s="47" t="n"/>
      <c r="D341" s="47" t="n"/>
      <c r="E341" s="43" t="n"/>
      <c r="F341" s="52" t="n"/>
      <c r="G341" s="43" t="n"/>
      <c r="H341" s="51" t="n"/>
      <c r="I341" s="53">
        <f>IF(B341&lt;&gt;"Expected","",IF(C341="Parking Obstruction",IF(G341="Validation",Settings!$B$9,Settings!$B$8),IF(C341="Drinking",IF(G341="Validation",Settings!$B$11,Settings!$B$10),0)))</f>
        <v/>
      </c>
      <c r="J341" s="54">
        <f>IF(OR(B341&lt;&gt;"Expected",D341&lt;&gt;"Violation",H341=""),"",H341+I341+Settings!$B$5)</f>
        <v/>
      </c>
      <c r="K341" s="43" t="n"/>
      <c r="L341" s="51" t="n"/>
      <c r="M341" s="43" t="n"/>
      <c r="N341" s="54">
        <f>IF(AND(B341="Expected",D341="Violation",K341&lt;&gt;"",ISNUMBER(L341),ISNUMBER(H341)),L341-H341-I341,"")</f>
        <v/>
      </c>
      <c r="O341" s="43" t="n"/>
      <c r="P341" s="47" t="n"/>
      <c r="Q341" s="55">
        <f>IF(A341="","",IF(B341="Expected",IF(D341="Violation",IF(H341="","Needs start",IF(AND(K341&lt;&gt;"",OR(M341&lt;&gt;"Monitoring",Settings!$B$7="Yes"),ISNUMBER(L341),L341&lt;=J341),"TP","FN")),IF(AND(K341&lt;&gt;"",OR(M341&lt;&gt;"Monitoring",Settings!$B$7="Yes")),"FP","TN")),IF(P341="","Needs tag",IF(OR(P341="False alarm",P341="Unscripted – false alarm"),"FP",IF(P341="Duplicate","Duplicate",IF(P341="Late (real act)","Late","Excluded"))))))</f>
        <v/>
      </c>
      <c r="R341" s="47" t="n"/>
      <c r="S341" s="43" t="n"/>
      <c r="T341" s="43" t="n"/>
      <c r="U341" s="43" t="n"/>
      <c r="V341" s="47" t="n"/>
      <c r="W341" s="47" t="n"/>
      <c r="X341" s="52" t="n"/>
      <c r="Y341" s="43" t="n"/>
      <c r="Z341" s="55">
        <f>IF(OR(Y341="",Q341=""),"",IF(Y341=Q341,"OK","MISMATCH"))</f>
        <v/>
      </c>
      <c r="AA341" s="43" t="n"/>
    </row>
    <row r="342" ht="15" customHeight="1" s="35">
      <c r="A342" s="43" t="n"/>
      <c r="B342" s="47" t="n"/>
      <c r="C342" s="47" t="n"/>
      <c r="D342" s="47" t="n"/>
      <c r="E342" s="43" t="n"/>
      <c r="F342" s="52" t="n"/>
      <c r="G342" s="43" t="n"/>
      <c r="H342" s="51" t="n"/>
      <c r="I342" s="53">
        <f>IF(B342&lt;&gt;"Expected","",IF(C342="Parking Obstruction",IF(G342="Validation",Settings!$B$9,Settings!$B$8),IF(C342="Drinking",IF(G342="Validation",Settings!$B$11,Settings!$B$10),0)))</f>
        <v/>
      </c>
      <c r="J342" s="54">
        <f>IF(OR(B342&lt;&gt;"Expected",D342&lt;&gt;"Violation",H342=""),"",H342+I342+Settings!$B$5)</f>
        <v/>
      </c>
      <c r="K342" s="43" t="n"/>
      <c r="L342" s="51" t="n"/>
      <c r="M342" s="43" t="n"/>
      <c r="N342" s="54">
        <f>IF(AND(B342="Expected",D342="Violation",K342&lt;&gt;"",ISNUMBER(L342),ISNUMBER(H342)),L342-H342-I342,"")</f>
        <v/>
      </c>
      <c r="O342" s="43" t="n"/>
      <c r="P342" s="47" t="n"/>
      <c r="Q342" s="55">
        <f>IF(A342="","",IF(B342="Expected",IF(D342="Violation",IF(H342="","Needs start",IF(AND(K342&lt;&gt;"",OR(M342&lt;&gt;"Monitoring",Settings!$B$7="Yes"),ISNUMBER(L342),L342&lt;=J342),"TP","FN")),IF(AND(K342&lt;&gt;"",OR(M342&lt;&gt;"Monitoring",Settings!$B$7="Yes")),"FP","TN")),IF(P342="","Needs tag",IF(OR(P342="False alarm",P342="Unscripted – false alarm"),"FP",IF(P342="Duplicate","Duplicate",IF(P342="Late (real act)","Late","Excluded"))))))</f>
        <v/>
      </c>
      <c r="R342" s="47" t="n"/>
      <c r="S342" s="43" t="n"/>
      <c r="T342" s="43" t="n"/>
      <c r="U342" s="43" t="n"/>
      <c r="V342" s="47" t="n"/>
      <c r="W342" s="47" t="n"/>
      <c r="X342" s="52" t="n"/>
      <c r="Y342" s="43" t="n"/>
      <c r="Z342" s="55">
        <f>IF(OR(Y342="",Q342=""),"",IF(Y342=Q342,"OK","MISMATCH"))</f>
        <v/>
      </c>
      <c r="AA342" s="43" t="n"/>
    </row>
    <row r="343" ht="15" customHeight="1" s="35">
      <c r="A343" s="43" t="n"/>
      <c r="B343" s="47" t="n"/>
      <c r="C343" s="47" t="n"/>
      <c r="D343" s="47" t="n"/>
      <c r="E343" s="43" t="n"/>
      <c r="F343" s="52" t="n"/>
      <c r="G343" s="43" t="n"/>
      <c r="H343" s="51" t="n"/>
      <c r="I343" s="53">
        <f>IF(B343&lt;&gt;"Expected","",IF(C343="Parking Obstruction",IF(G343="Validation",Settings!$B$9,Settings!$B$8),IF(C343="Drinking",IF(G343="Validation",Settings!$B$11,Settings!$B$10),0)))</f>
        <v/>
      </c>
      <c r="J343" s="54">
        <f>IF(OR(B343&lt;&gt;"Expected",D343&lt;&gt;"Violation",H343=""),"",H343+I343+Settings!$B$5)</f>
        <v/>
      </c>
      <c r="K343" s="43" t="n"/>
      <c r="L343" s="51" t="n"/>
      <c r="M343" s="43" t="n"/>
      <c r="N343" s="54">
        <f>IF(AND(B343="Expected",D343="Violation",K343&lt;&gt;"",ISNUMBER(L343),ISNUMBER(H343)),L343-H343-I343,"")</f>
        <v/>
      </c>
      <c r="O343" s="43" t="n"/>
      <c r="P343" s="47" t="n"/>
      <c r="Q343" s="55">
        <f>IF(A343="","",IF(B343="Expected",IF(D343="Violation",IF(H343="","Needs start",IF(AND(K343&lt;&gt;"",OR(M343&lt;&gt;"Monitoring",Settings!$B$7="Yes"),ISNUMBER(L343),L343&lt;=J343),"TP","FN")),IF(AND(K343&lt;&gt;"",OR(M343&lt;&gt;"Monitoring",Settings!$B$7="Yes")),"FP","TN")),IF(P343="","Needs tag",IF(OR(P343="False alarm",P343="Unscripted – false alarm"),"FP",IF(P343="Duplicate","Duplicate",IF(P343="Late (real act)","Late","Excluded"))))))</f>
        <v/>
      </c>
      <c r="R343" s="47" t="n"/>
      <c r="S343" s="43" t="n"/>
      <c r="T343" s="43" t="n"/>
      <c r="U343" s="43" t="n"/>
      <c r="V343" s="47" t="n"/>
      <c r="W343" s="47" t="n"/>
      <c r="X343" s="52" t="n"/>
      <c r="Y343" s="43" t="n"/>
      <c r="Z343" s="55">
        <f>IF(OR(Y343="",Q343=""),"",IF(Y343=Q343,"OK","MISMATCH"))</f>
        <v/>
      </c>
      <c r="AA343" s="43" t="n"/>
    </row>
    <row r="344" ht="15" customHeight="1" s="35">
      <c r="A344" s="43" t="n"/>
      <c r="B344" s="47" t="n"/>
      <c r="C344" s="47" t="n"/>
      <c r="D344" s="47" t="n"/>
      <c r="E344" s="43" t="n"/>
      <c r="F344" s="52" t="n"/>
      <c r="G344" s="43" t="n"/>
      <c r="H344" s="51" t="n"/>
      <c r="I344" s="53">
        <f>IF(B344&lt;&gt;"Expected","",IF(C344="Parking Obstruction",IF(G344="Validation",Settings!$B$9,Settings!$B$8),IF(C344="Drinking",IF(G344="Validation",Settings!$B$11,Settings!$B$10),0)))</f>
        <v/>
      </c>
      <c r="J344" s="54">
        <f>IF(OR(B344&lt;&gt;"Expected",D344&lt;&gt;"Violation",H344=""),"",H344+I344+Settings!$B$5)</f>
        <v/>
      </c>
      <c r="K344" s="43" t="n"/>
      <c r="L344" s="51" t="n"/>
      <c r="M344" s="43" t="n"/>
      <c r="N344" s="54">
        <f>IF(AND(B344="Expected",D344="Violation",K344&lt;&gt;"",ISNUMBER(L344),ISNUMBER(H344)),L344-H344-I344,"")</f>
        <v/>
      </c>
      <c r="O344" s="43" t="n"/>
      <c r="P344" s="47" t="n"/>
      <c r="Q344" s="55">
        <f>IF(A344="","",IF(B344="Expected",IF(D344="Violation",IF(H344="","Needs start",IF(AND(K344&lt;&gt;"",OR(M344&lt;&gt;"Monitoring",Settings!$B$7="Yes"),ISNUMBER(L344),L344&lt;=J344),"TP","FN")),IF(AND(K344&lt;&gt;"",OR(M344&lt;&gt;"Monitoring",Settings!$B$7="Yes")),"FP","TN")),IF(P344="","Needs tag",IF(OR(P344="False alarm",P344="Unscripted – false alarm"),"FP",IF(P344="Duplicate","Duplicate",IF(P344="Late (real act)","Late","Excluded"))))))</f>
        <v/>
      </c>
      <c r="R344" s="47" t="n"/>
      <c r="S344" s="43" t="n"/>
      <c r="T344" s="43" t="n"/>
      <c r="U344" s="43" t="n"/>
      <c r="V344" s="47" t="n"/>
      <c r="W344" s="47" t="n"/>
      <c r="X344" s="52" t="n"/>
      <c r="Y344" s="43" t="n"/>
      <c r="Z344" s="55">
        <f>IF(OR(Y344="",Q344=""),"",IF(Y344=Q344,"OK","MISMATCH"))</f>
        <v/>
      </c>
      <c r="AA344" s="43" t="n"/>
    </row>
    <row r="345" ht="15" customHeight="1" s="35">
      <c r="A345" s="43" t="n"/>
      <c r="B345" s="47" t="n"/>
      <c r="C345" s="47" t="n"/>
      <c r="D345" s="47" t="n"/>
      <c r="E345" s="43" t="n"/>
      <c r="F345" s="52" t="n"/>
      <c r="G345" s="43" t="n"/>
      <c r="H345" s="51" t="n"/>
      <c r="I345" s="53">
        <f>IF(B345&lt;&gt;"Expected","",IF(C345="Parking Obstruction",IF(G345="Validation",Settings!$B$9,Settings!$B$8),IF(C345="Drinking",IF(G345="Validation",Settings!$B$11,Settings!$B$10),0)))</f>
        <v/>
      </c>
      <c r="J345" s="54">
        <f>IF(OR(B345&lt;&gt;"Expected",D345&lt;&gt;"Violation",H345=""),"",H345+I345+Settings!$B$5)</f>
        <v/>
      </c>
      <c r="K345" s="43" t="n"/>
      <c r="L345" s="51" t="n"/>
      <c r="M345" s="43" t="n"/>
      <c r="N345" s="54">
        <f>IF(AND(B345="Expected",D345="Violation",K345&lt;&gt;"",ISNUMBER(L345),ISNUMBER(H345)),L345-H345-I345,"")</f>
        <v/>
      </c>
      <c r="O345" s="43" t="n"/>
      <c r="P345" s="47" t="n"/>
      <c r="Q345" s="55">
        <f>IF(A345="","",IF(B345="Expected",IF(D345="Violation",IF(H345="","Needs start",IF(AND(K345&lt;&gt;"",OR(M345&lt;&gt;"Monitoring",Settings!$B$7="Yes"),ISNUMBER(L345),L345&lt;=J345),"TP","FN")),IF(AND(K345&lt;&gt;"",OR(M345&lt;&gt;"Monitoring",Settings!$B$7="Yes")),"FP","TN")),IF(P345="","Needs tag",IF(OR(P345="False alarm",P345="Unscripted – false alarm"),"FP",IF(P345="Duplicate","Duplicate",IF(P345="Late (real act)","Late","Excluded"))))))</f>
        <v/>
      </c>
      <c r="R345" s="47" t="n"/>
      <c r="S345" s="43" t="n"/>
      <c r="T345" s="43" t="n"/>
      <c r="U345" s="43" t="n"/>
      <c r="V345" s="47" t="n"/>
      <c r="W345" s="47" t="n"/>
      <c r="X345" s="52" t="n"/>
      <c r="Y345" s="43" t="n"/>
      <c r="Z345" s="55">
        <f>IF(OR(Y345="",Q345=""),"",IF(Y345=Q345,"OK","MISMATCH"))</f>
        <v/>
      </c>
      <c r="AA345" s="43" t="n"/>
    </row>
    <row r="346" ht="15" customHeight="1" s="35">
      <c r="A346" s="43" t="n"/>
      <c r="B346" s="47" t="n"/>
      <c r="C346" s="47" t="n"/>
      <c r="D346" s="47" t="n"/>
      <c r="E346" s="43" t="n"/>
      <c r="F346" s="52" t="n"/>
      <c r="G346" s="43" t="n"/>
      <c r="H346" s="51" t="n"/>
      <c r="I346" s="53">
        <f>IF(B346&lt;&gt;"Expected","",IF(C346="Parking Obstruction",IF(G346="Validation",Settings!$B$9,Settings!$B$8),IF(C346="Drinking",IF(G346="Validation",Settings!$B$11,Settings!$B$10),0)))</f>
        <v/>
      </c>
      <c r="J346" s="54">
        <f>IF(OR(B346&lt;&gt;"Expected",D346&lt;&gt;"Violation",H346=""),"",H346+I346+Settings!$B$5)</f>
        <v/>
      </c>
      <c r="K346" s="43" t="n"/>
      <c r="L346" s="51" t="n"/>
      <c r="M346" s="43" t="n"/>
      <c r="N346" s="54">
        <f>IF(AND(B346="Expected",D346="Violation",K346&lt;&gt;"",ISNUMBER(L346),ISNUMBER(H346)),L346-H346-I346,"")</f>
        <v/>
      </c>
      <c r="O346" s="43" t="n"/>
      <c r="P346" s="47" t="n"/>
      <c r="Q346" s="55">
        <f>IF(A346="","",IF(B346="Expected",IF(D346="Violation",IF(H346="","Needs start",IF(AND(K346&lt;&gt;"",OR(M346&lt;&gt;"Monitoring",Settings!$B$7="Yes"),ISNUMBER(L346),L346&lt;=J346),"TP","FN")),IF(AND(K346&lt;&gt;"",OR(M346&lt;&gt;"Monitoring",Settings!$B$7="Yes")),"FP","TN")),IF(P346="","Needs tag",IF(OR(P346="False alarm",P346="Unscripted – false alarm"),"FP",IF(P346="Duplicate","Duplicate",IF(P346="Late (real act)","Late","Excluded"))))))</f>
        <v/>
      </c>
      <c r="R346" s="47" t="n"/>
      <c r="S346" s="43" t="n"/>
      <c r="T346" s="43" t="n"/>
      <c r="U346" s="43" t="n"/>
      <c r="V346" s="47" t="n"/>
      <c r="W346" s="47" t="n"/>
      <c r="X346" s="52" t="n"/>
      <c r="Y346" s="43" t="n"/>
      <c r="Z346" s="55">
        <f>IF(OR(Y346="",Q346=""),"",IF(Y346=Q346,"OK","MISMATCH"))</f>
        <v/>
      </c>
      <c r="AA346" s="43" t="n"/>
    </row>
    <row r="347" ht="15" customHeight="1" s="35">
      <c r="A347" s="43" t="n"/>
      <c r="B347" s="47" t="n"/>
      <c r="C347" s="47" t="n"/>
      <c r="D347" s="47" t="n"/>
      <c r="E347" s="43" t="n"/>
      <c r="F347" s="52" t="n"/>
      <c r="G347" s="43" t="n"/>
      <c r="H347" s="51" t="n"/>
      <c r="I347" s="53">
        <f>IF(B347&lt;&gt;"Expected","",IF(C347="Parking Obstruction",IF(G347="Validation",Settings!$B$9,Settings!$B$8),IF(C347="Drinking",IF(G347="Validation",Settings!$B$11,Settings!$B$10),0)))</f>
        <v/>
      </c>
      <c r="J347" s="54">
        <f>IF(OR(B347&lt;&gt;"Expected",D347&lt;&gt;"Violation",H347=""),"",H347+I347+Settings!$B$5)</f>
        <v/>
      </c>
      <c r="K347" s="43" t="n"/>
      <c r="L347" s="51" t="n"/>
      <c r="M347" s="43" t="n"/>
      <c r="N347" s="54">
        <f>IF(AND(B347="Expected",D347="Violation",K347&lt;&gt;"",ISNUMBER(L347),ISNUMBER(H347)),L347-H347-I347,"")</f>
        <v/>
      </c>
      <c r="O347" s="43" t="n"/>
      <c r="P347" s="47" t="n"/>
      <c r="Q347" s="55">
        <f>IF(A347="","",IF(B347="Expected",IF(D347="Violation",IF(H347="","Needs start",IF(AND(K347&lt;&gt;"",OR(M347&lt;&gt;"Monitoring",Settings!$B$7="Yes"),ISNUMBER(L347),L347&lt;=J347),"TP","FN")),IF(AND(K347&lt;&gt;"",OR(M347&lt;&gt;"Monitoring",Settings!$B$7="Yes")),"FP","TN")),IF(P347="","Needs tag",IF(OR(P347="False alarm",P347="Unscripted – false alarm"),"FP",IF(P347="Duplicate","Duplicate",IF(P347="Late (real act)","Late","Excluded"))))))</f>
        <v/>
      </c>
      <c r="R347" s="47" t="n"/>
      <c r="S347" s="43" t="n"/>
      <c r="T347" s="43" t="n"/>
      <c r="U347" s="43" t="n"/>
      <c r="V347" s="47" t="n"/>
      <c r="W347" s="47" t="n"/>
      <c r="X347" s="52" t="n"/>
      <c r="Y347" s="43" t="n"/>
      <c r="Z347" s="55">
        <f>IF(OR(Y347="",Q347=""),"",IF(Y347=Q347,"OK","MISMATCH"))</f>
        <v/>
      </c>
      <c r="AA347" s="43" t="n"/>
    </row>
    <row r="348" ht="15" customHeight="1" s="35">
      <c r="A348" s="43" t="n"/>
      <c r="B348" s="47" t="n"/>
      <c r="C348" s="47" t="n"/>
      <c r="D348" s="47" t="n"/>
      <c r="E348" s="43" t="n"/>
      <c r="F348" s="52" t="n"/>
      <c r="G348" s="43" t="n"/>
      <c r="H348" s="51" t="n"/>
      <c r="I348" s="53">
        <f>IF(B348&lt;&gt;"Expected","",IF(C348="Parking Obstruction",IF(G348="Validation",Settings!$B$9,Settings!$B$8),IF(C348="Drinking",IF(G348="Validation",Settings!$B$11,Settings!$B$10),0)))</f>
        <v/>
      </c>
      <c r="J348" s="54">
        <f>IF(OR(B348&lt;&gt;"Expected",D348&lt;&gt;"Violation",H348=""),"",H348+I348+Settings!$B$5)</f>
        <v/>
      </c>
      <c r="K348" s="43" t="n"/>
      <c r="L348" s="51" t="n"/>
      <c r="M348" s="43" t="n"/>
      <c r="N348" s="54">
        <f>IF(AND(B348="Expected",D348="Violation",K348&lt;&gt;"",ISNUMBER(L348),ISNUMBER(H348)),L348-H348-I348,"")</f>
        <v/>
      </c>
      <c r="O348" s="43" t="n"/>
      <c r="P348" s="47" t="n"/>
      <c r="Q348" s="55">
        <f>IF(A348="","",IF(B348="Expected",IF(D348="Violation",IF(H348="","Needs start",IF(AND(K348&lt;&gt;"",OR(M348&lt;&gt;"Monitoring",Settings!$B$7="Yes"),ISNUMBER(L348),L348&lt;=J348),"TP","FN")),IF(AND(K348&lt;&gt;"",OR(M348&lt;&gt;"Monitoring",Settings!$B$7="Yes")),"FP","TN")),IF(P348="","Needs tag",IF(OR(P348="False alarm",P348="Unscripted – false alarm"),"FP",IF(P348="Duplicate","Duplicate",IF(P348="Late (real act)","Late","Excluded"))))))</f>
        <v/>
      </c>
      <c r="R348" s="47" t="n"/>
      <c r="S348" s="43" t="n"/>
      <c r="T348" s="43" t="n"/>
      <c r="U348" s="43" t="n"/>
      <c r="V348" s="47" t="n"/>
      <c r="W348" s="47" t="n"/>
      <c r="X348" s="52" t="n"/>
      <c r="Y348" s="43" t="n"/>
      <c r="Z348" s="55">
        <f>IF(OR(Y348="",Q348=""),"",IF(Y348=Q348,"OK","MISMATCH"))</f>
        <v/>
      </c>
      <c r="AA348" s="43" t="n"/>
    </row>
    <row r="349" ht="15" customHeight="1" s="35">
      <c r="A349" s="43" t="n"/>
      <c r="B349" s="47" t="n"/>
      <c r="C349" s="47" t="n"/>
      <c r="D349" s="47" t="n"/>
      <c r="E349" s="43" t="n"/>
      <c r="F349" s="52" t="n"/>
      <c r="G349" s="43" t="n"/>
      <c r="H349" s="51" t="n"/>
      <c r="I349" s="53">
        <f>IF(B349&lt;&gt;"Expected","",IF(C349="Parking Obstruction",IF(G349="Validation",Settings!$B$9,Settings!$B$8),IF(C349="Drinking",IF(G349="Validation",Settings!$B$11,Settings!$B$10),0)))</f>
        <v/>
      </c>
      <c r="J349" s="54">
        <f>IF(OR(B349&lt;&gt;"Expected",D349&lt;&gt;"Violation",H349=""),"",H349+I349+Settings!$B$5)</f>
        <v/>
      </c>
      <c r="K349" s="43" t="n"/>
      <c r="L349" s="51" t="n"/>
      <c r="M349" s="43" t="n"/>
      <c r="N349" s="54">
        <f>IF(AND(B349="Expected",D349="Violation",K349&lt;&gt;"",ISNUMBER(L349),ISNUMBER(H349)),L349-H349-I349,"")</f>
        <v/>
      </c>
      <c r="O349" s="43" t="n"/>
      <c r="P349" s="47" t="n"/>
      <c r="Q349" s="55">
        <f>IF(A349="","",IF(B349="Expected",IF(D349="Violation",IF(H349="","Needs start",IF(AND(K349&lt;&gt;"",OR(M349&lt;&gt;"Monitoring",Settings!$B$7="Yes"),ISNUMBER(L349),L349&lt;=J349),"TP","FN")),IF(AND(K349&lt;&gt;"",OR(M349&lt;&gt;"Monitoring",Settings!$B$7="Yes")),"FP","TN")),IF(P349="","Needs tag",IF(OR(P349="False alarm",P349="Unscripted – false alarm"),"FP",IF(P349="Duplicate","Duplicate",IF(P349="Late (real act)","Late","Excluded"))))))</f>
        <v/>
      </c>
      <c r="R349" s="47" t="n"/>
      <c r="S349" s="43" t="n"/>
      <c r="T349" s="43" t="n"/>
      <c r="U349" s="43" t="n"/>
      <c r="V349" s="47" t="n"/>
      <c r="W349" s="47" t="n"/>
      <c r="X349" s="52" t="n"/>
      <c r="Y349" s="43" t="n"/>
      <c r="Z349" s="55">
        <f>IF(OR(Y349="",Q349=""),"",IF(Y349=Q349,"OK","MISMATCH"))</f>
        <v/>
      </c>
      <c r="AA349" s="43" t="n"/>
    </row>
    <row r="350" ht="15" customHeight="1" s="35">
      <c r="A350" s="43" t="n"/>
      <c r="B350" s="47" t="n"/>
      <c r="C350" s="47" t="n"/>
      <c r="D350" s="47" t="n"/>
      <c r="E350" s="43" t="n"/>
      <c r="F350" s="52" t="n"/>
      <c r="G350" s="43" t="n"/>
      <c r="H350" s="51" t="n"/>
      <c r="I350" s="53">
        <f>IF(B350&lt;&gt;"Expected","",IF(C350="Parking Obstruction",IF(G350="Validation",Settings!$B$9,Settings!$B$8),IF(C350="Drinking",IF(G350="Validation",Settings!$B$11,Settings!$B$10),0)))</f>
        <v/>
      </c>
      <c r="J350" s="54">
        <f>IF(OR(B350&lt;&gt;"Expected",D350&lt;&gt;"Violation",H350=""),"",H350+I350+Settings!$B$5)</f>
        <v/>
      </c>
      <c r="K350" s="43" t="n"/>
      <c r="L350" s="51" t="n"/>
      <c r="M350" s="43" t="n"/>
      <c r="N350" s="54">
        <f>IF(AND(B350="Expected",D350="Violation",K350&lt;&gt;"",ISNUMBER(L350),ISNUMBER(H350)),L350-H350-I350,"")</f>
        <v/>
      </c>
      <c r="O350" s="43" t="n"/>
      <c r="P350" s="47" t="n"/>
      <c r="Q350" s="55">
        <f>IF(A350="","",IF(B350="Expected",IF(D350="Violation",IF(H350="","Needs start",IF(AND(K350&lt;&gt;"",OR(M350&lt;&gt;"Monitoring",Settings!$B$7="Yes"),ISNUMBER(L350),L350&lt;=J350),"TP","FN")),IF(AND(K350&lt;&gt;"",OR(M350&lt;&gt;"Monitoring",Settings!$B$7="Yes")),"FP","TN")),IF(P350="","Needs tag",IF(OR(P350="False alarm",P350="Unscripted – false alarm"),"FP",IF(P350="Duplicate","Duplicate",IF(P350="Late (real act)","Late","Excluded"))))))</f>
        <v/>
      </c>
      <c r="R350" s="47" t="n"/>
      <c r="S350" s="43" t="n"/>
      <c r="T350" s="43" t="n"/>
      <c r="U350" s="43" t="n"/>
      <c r="V350" s="47" t="n"/>
      <c r="W350" s="47" t="n"/>
      <c r="X350" s="52" t="n"/>
      <c r="Y350" s="43" t="n"/>
      <c r="Z350" s="55">
        <f>IF(OR(Y350="",Q350=""),"",IF(Y350=Q350,"OK","MISMATCH"))</f>
        <v/>
      </c>
      <c r="AA350" s="43" t="n"/>
    </row>
    <row r="351" ht="15" customHeight="1" s="35">
      <c r="A351" s="43" t="n"/>
      <c r="B351" s="47" t="n"/>
      <c r="C351" s="47" t="n"/>
      <c r="D351" s="47" t="n"/>
      <c r="E351" s="43" t="n"/>
      <c r="F351" s="52" t="n"/>
      <c r="G351" s="43" t="n"/>
      <c r="H351" s="51" t="n"/>
      <c r="I351" s="53">
        <f>IF(B351&lt;&gt;"Expected","",IF(C351="Parking Obstruction",IF(G351="Validation",Settings!$B$9,Settings!$B$8),IF(C351="Drinking",IF(G351="Validation",Settings!$B$11,Settings!$B$10),0)))</f>
        <v/>
      </c>
      <c r="J351" s="54">
        <f>IF(OR(B351&lt;&gt;"Expected",D351&lt;&gt;"Violation",H351=""),"",H351+I351+Settings!$B$5)</f>
        <v/>
      </c>
      <c r="K351" s="43" t="n"/>
      <c r="L351" s="51" t="n"/>
      <c r="M351" s="43" t="n"/>
      <c r="N351" s="54">
        <f>IF(AND(B351="Expected",D351="Violation",K351&lt;&gt;"",ISNUMBER(L351),ISNUMBER(H351)),L351-H351-I351,"")</f>
        <v/>
      </c>
      <c r="O351" s="43" t="n"/>
      <c r="P351" s="47" t="n"/>
      <c r="Q351" s="55">
        <f>IF(A351="","",IF(B351="Expected",IF(D351="Violation",IF(H351="","Needs start",IF(AND(K351&lt;&gt;"",OR(M351&lt;&gt;"Monitoring",Settings!$B$7="Yes"),ISNUMBER(L351),L351&lt;=J351),"TP","FN")),IF(AND(K351&lt;&gt;"",OR(M351&lt;&gt;"Monitoring",Settings!$B$7="Yes")),"FP","TN")),IF(P351="","Needs tag",IF(OR(P351="False alarm",P351="Unscripted – false alarm"),"FP",IF(P351="Duplicate","Duplicate",IF(P351="Late (real act)","Late","Excluded"))))))</f>
        <v/>
      </c>
      <c r="R351" s="47" t="n"/>
      <c r="S351" s="43" t="n"/>
      <c r="T351" s="43" t="n"/>
      <c r="U351" s="43" t="n"/>
      <c r="V351" s="47" t="n"/>
      <c r="W351" s="47" t="n"/>
      <c r="X351" s="52" t="n"/>
      <c r="Y351" s="43" t="n"/>
      <c r="Z351" s="55">
        <f>IF(OR(Y351="",Q351=""),"",IF(Y351=Q351,"OK","MISMATCH"))</f>
        <v/>
      </c>
      <c r="AA351" s="43" t="n"/>
    </row>
    <row r="352" ht="15" customHeight="1" s="35">
      <c r="A352" s="43" t="n"/>
      <c r="B352" s="47" t="n"/>
      <c r="C352" s="47" t="n"/>
      <c r="D352" s="47" t="n"/>
      <c r="E352" s="43" t="n"/>
      <c r="F352" s="52" t="n"/>
      <c r="G352" s="43" t="n"/>
      <c r="H352" s="51" t="n"/>
      <c r="I352" s="53">
        <f>IF(B352&lt;&gt;"Expected","",IF(C352="Parking Obstruction",IF(G352="Validation",Settings!$B$9,Settings!$B$8),IF(C352="Drinking",IF(G352="Validation",Settings!$B$11,Settings!$B$10),0)))</f>
        <v/>
      </c>
      <c r="J352" s="54">
        <f>IF(OR(B352&lt;&gt;"Expected",D352&lt;&gt;"Violation",H352=""),"",H352+I352+Settings!$B$5)</f>
        <v/>
      </c>
      <c r="K352" s="43" t="n"/>
      <c r="L352" s="51" t="n"/>
      <c r="M352" s="43" t="n"/>
      <c r="N352" s="54">
        <f>IF(AND(B352="Expected",D352="Violation",K352&lt;&gt;"",ISNUMBER(L352),ISNUMBER(H352)),L352-H352-I352,"")</f>
        <v/>
      </c>
      <c r="O352" s="43" t="n"/>
      <c r="P352" s="47" t="n"/>
      <c r="Q352" s="55">
        <f>IF(A352="","",IF(B352="Expected",IF(D352="Violation",IF(H352="","Needs start",IF(AND(K352&lt;&gt;"",OR(M352&lt;&gt;"Monitoring",Settings!$B$7="Yes"),ISNUMBER(L352),L352&lt;=J352),"TP","FN")),IF(AND(K352&lt;&gt;"",OR(M352&lt;&gt;"Monitoring",Settings!$B$7="Yes")),"FP","TN")),IF(P352="","Needs tag",IF(OR(P352="False alarm",P352="Unscripted – false alarm"),"FP",IF(P352="Duplicate","Duplicate",IF(P352="Late (real act)","Late","Excluded"))))))</f>
        <v/>
      </c>
      <c r="R352" s="47" t="n"/>
      <c r="S352" s="43" t="n"/>
      <c r="T352" s="43" t="n"/>
      <c r="U352" s="43" t="n"/>
      <c r="V352" s="47" t="n"/>
      <c r="W352" s="47" t="n"/>
      <c r="X352" s="52" t="n"/>
      <c r="Y352" s="43" t="n"/>
      <c r="Z352" s="55">
        <f>IF(OR(Y352="",Q352=""),"",IF(Y352=Q352,"OK","MISMATCH"))</f>
        <v/>
      </c>
      <c r="AA352" s="43" t="n"/>
    </row>
    <row r="353" ht="15" customHeight="1" s="35">
      <c r="A353" s="43" t="n"/>
      <c r="B353" s="47" t="n"/>
      <c r="C353" s="47" t="n"/>
      <c r="D353" s="47" t="n"/>
      <c r="E353" s="43" t="n"/>
      <c r="F353" s="52" t="n"/>
      <c r="G353" s="43" t="n"/>
      <c r="H353" s="51" t="n"/>
      <c r="I353" s="53">
        <f>IF(B353&lt;&gt;"Expected","",IF(C353="Parking Obstruction",IF(G353="Validation",Settings!$B$9,Settings!$B$8),IF(C353="Drinking",IF(G353="Validation",Settings!$B$11,Settings!$B$10),0)))</f>
        <v/>
      </c>
      <c r="J353" s="54">
        <f>IF(OR(B353&lt;&gt;"Expected",D353&lt;&gt;"Violation",H353=""),"",H353+I353+Settings!$B$5)</f>
        <v/>
      </c>
      <c r="K353" s="43" t="n"/>
      <c r="L353" s="51" t="n"/>
      <c r="M353" s="43" t="n"/>
      <c r="N353" s="54">
        <f>IF(AND(B353="Expected",D353="Violation",K353&lt;&gt;"",ISNUMBER(L353),ISNUMBER(H353)),L353-H353-I353,"")</f>
        <v/>
      </c>
      <c r="O353" s="43" t="n"/>
      <c r="P353" s="47" t="n"/>
      <c r="Q353" s="55">
        <f>IF(A353="","",IF(B353="Expected",IF(D353="Violation",IF(H353="","Needs start",IF(AND(K353&lt;&gt;"",OR(M353&lt;&gt;"Monitoring",Settings!$B$7="Yes"),ISNUMBER(L353),L353&lt;=J353),"TP","FN")),IF(AND(K353&lt;&gt;"",OR(M353&lt;&gt;"Monitoring",Settings!$B$7="Yes")),"FP","TN")),IF(P353="","Needs tag",IF(OR(P353="False alarm",P353="Unscripted – false alarm"),"FP",IF(P353="Duplicate","Duplicate",IF(P353="Late (real act)","Late","Excluded"))))))</f>
        <v/>
      </c>
      <c r="R353" s="47" t="n"/>
      <c r="S353" s="43" t="n"/>
      <c r="T353" s="43" t="n"/>
      <c r="U353" s="43" t="n"/>
      <c r="V353" s="47" t="n"/>
      <c r="W353" s="47" t="n"/>
      <c r="X353" s="52" t="n"/>
      <c r="Y353" s="43" t="n"/>
      <c r="Z353" s="55">
        <f>IF(OR(Y353="",Q353=""),"",IF(Y353=Q353,"OK","MISMATCH"))</f>
        <v/>
      </c>
      <c r="AA353" s="43" t="n"/>
    </row>
    <row r="354" ht="15" customHeight="1" s="35">
      <c r="A354" s="43" t="n"/>
      <c r="B354" s="47" t="n"/>
      <c r="C354" s="47" t="n"/>
      <c r="D354" s="47" t="n"/>
      <c r="E354" s="43" t="n"/>
      <c r="F354" s="52" t="n"/>
      <c r="G354" s="43" t="n"/>
      <c r="H354" s="51" t="n"/>
      <c r="I354" s="53">
        <f>IF(B354&lt;&gt;"Expected","",IF(C354="Parking Obstruction",IF(G354="Validation",Settings!$B$9,Settings!$B$8),IF(C354="Drinking",IF(G354="Validation",Settings!$B$11,Settings!$B$10),0)))</f>
        <v/>
      </c>
      <c r="J354" s="54">
        <f>IF(OR(B354&lt;&gt;"Expected",D354&lt;&gt;"Violation",H354=""),"",H354+I354+Settings!$B$5)</f>
        <v/>
      </c>
      <c r="K354" s="43" t="n"/>
      <c r="L354" s="51" t="n"/>
      <c r="M354" s="43" t="n"/>
      <c r="N354" s="54">
        <f>IF(AND(B354="Expected",D354="Violation",K354&lt;&gt;"",ISNUMBER(L354),ISNUMBER(H354)),L354-H354-I354,"")</f>
        <v/>
      </c>
      <c r="O354" s="43" t="n"/>
      <c r="P354" s="47" t="n"/>
      <c r="Q354" s="55">
        <f>IF(A354="","",IF(B354="Expected",IF(D354="Violation",IF(H354="","Needs start",IF(AND(K354&lt;&gt;"",OR(M354&lt;&gt;"Monitoring",Settings!$B$7="Yes"),ISNUMBER(L354),L354&lt;=J354),"TP","FN")),IF(AND(K354&lt;&gt;"",OR(M354&lt;&gt;"Monitoring",Settings!$B$7="Yes")),"FP","TN")),IF(P354="","Needs tag",IF(OR(P354="False alarm",P354="Unscripted – false alarm"),"FP",IF(P354="Duplicate","Duplicate",IF(P354="Late (real act)","Late","Excluded"))))))</f>
        <v/>
      </c>
      <c r="R354" s="47" t="n"/>
      <c r="S354" s="43" t="n"/>
      <c r="T354" s="43" t="n"/>
      <c r="U354" s="43" t="n"/>
      <c r="V354" s="47" t="n"/>
      <c r="W354" s="47" t="n"/>
      <c r="X354" s="52" t="n"/>
      <c r="Y354" s="43" t="n"/>
      <c r="Z354" s="55">
        <f>IF(OR(Y354="",Q354=""),"",IF(Y354=Q354,"OK","MISMATCH"))</f>
        <v/>
      </c>
      <c r="AA354" s="43" t="n"/>
    </row>
    <row r="355" ht="15" customHeight="1" s="35">
      <c r="A355" s="43" t="n"/>
      <c r="B355" s="47" t="n"/>
      <c r="C355" s="47" t="n"/>
      <c r="D355" s="47" t="n"/>
      <c r="E355" s="43" t="n"/>
      <c r="F355" s="52" t="n"/>
      <c r="G355" s="43" t="n"/>
      <c r="H355" s="51" t="n"/>
      <c r="I355" s="53">
        <f>IF(B355&lt;&gt;"Expected","",IF(C355="Parking Obstruction",IF(G355="Validation",Settings!$B$9,Settings!$B$8),IF(C355="Drinking",IF(G355="Validation",Settings!$B$11,Settings!$B$10),0)))</f>
        <v/>
      </c>
      <c r="J355" s="54">
        <f>IF(OR(B355&lt;&gt;"Expected",D355&lt;&gt;"Violation",H355=""),"",H355+I355+Settings!$B$5)</f>
        <v/>
      </c>
      <c r="K355" s="43" t="n"/>
      <c r="L355" s="51" t="n"/>
      <c r="M355" s="43" t="n"/>
      <c r="N355" s="54">
        <f>IF(AND(B355="Expected",D355="Violation",K355&lt;&gt;"",ISNUMBER(L355),ISNUMBER(H355)),L355-H355-I355,"")</f>
        <v/>
      </c>
      <c r="O355" s="43" t="n"/>
      <c r="P355" s="47" t="n"/>
      <c r="Q355" s="55">
        <f>IF(A355="","",IF(B355="Expected",IF(D355="Violation",IF(H355="","Needs start",IF(AND(K355&lt;&gt;"",OR(M355&lt;&gt;"Monitoring",Settings!$B$7="Yes"),ISNUMBER(L355),L355&lt;=J355),"TP","FN")),IF(AND(K355&lt;&gt;"",OR(M355&lt;&gt;"Monitoring",Settings!$B$7="Yes")),"FP","TN")),IF(P355="","Needs tag",IF(OR(P355="False alarm",P355="Unscripted – false alarm"),"FP",IF(P355="Duplicate","Duplicate",IF(P355="Late (real act)","Late","Excluded"))))))</f>
        <v/>
      </c>
      <c r="R355" s="47" t="n"/>
      <c r="S355" s="43" t="n"/>
      <c r="T355" s="43" t="n"/>
      <c r="U355" s="43" t="n"/>
      <c r="V355" s="47" t="n"/>
      <c r="W355" s="47" t="n"/>
      <c r="X355" s="52" t="n"/>
      <c r="Y355" s="43" t="n"/>
      <c r="Z355" s="55">
        <f>IF(OR(Y355="",Q355=""),"",IF(Y355=Q355,"OK","MISMATCH"))</f>
        <v/>
      </c>
      <c r="AA355" s="43" t="n"/>
    </row>
    <row r="356" ht="15" customHeight="1" s="35">
      <c r="A356" s="43" t="n"/>
      <c r="B356" s="47" t="n"/>
      <c r="C356" s="47" t="n"/>
      <c r="D356" s="47" t="n"/>
      <c r="E356" s="43" t="n"/>
      <c r="F356" s="52" t="n"/>
      <c r="G356" s="43" t="n"/>
      <c r="H356" s="51" t="n"/>
      <c r="I356" s="53">
        <f>IF(B356&lt;&gt;"Expected","",IF(C356="Parking Obstruction",IF(G356="Validation",Settings!$B$9,Settings!$B$8),IF(C356="Drinking",IF(G356="Validation",Settings!$B$11,Settings!$B$10),0)))</f>
        <v/>
      </c>
      <c r="J356" s="54">
        <f>IF(OR(B356&lt;&gt;"Expected",D356&lt;&gt;"Violation",H356=""),"",H356+I356+Settings!$B$5)</f>
        <v/>
      </c>
      <c r="K356" s="43" t="n"/>
      <c r="L356" s="51" t="n"/>
      <c r="M356" s="43" t="n"/>
      <c r="N356" s="54">
        <f>IF(AND(B356="Expected",D356="Violation",K356&lt;&gt;"",ISNUMBER(L356),ISNUMBER(H356)),L356-H356-I356,"")</f>
        <v/>
      </c>
      <c r="O356" s="43" t="n"/>
      <c r="P356" s="47" t="n"/>
      <c r="Q356" s="55">
        <f>IF(A356="","",IF(B356="Expected",IF(D356="Violation",IF(H356="","Needs start",IF(AND(K356&lt;&gt;"",OR(M356&lt;&gt;"Monitoring",Settings!$B$7="Yes"),ISNUMBER(L356),L356&lt;=J356),"TP","FN")),IF(AND(K356&lt;&gt;"",OR(M356&lt;&gt;"Monitoring",Settings!$B$7="Yes")),"FP","TN")),IF(P356="","Needs tag",IF(OR(P356="False alarm",P356="Unscripted – false alarm"),"FP",IF(P356="Duplicate","Duplicate",IF(P356="Late (real act)","Late","Excluded"))))))</f>
        <v/>
      </c>
      <c r="R356" s="47" t="n"/>
      <c r="S356" s="43" t="n"/>
      <c r="T356" s="43" t="n"/>
      <c r="U356" s="43" t="n"/>
      <c r="V356" s="47" t="n"/>
      <c r="W356" s="47" t="n"/>
      <c r="X356" s="52" t="n"/>
      <c r="Y356" s="43" t="n"/>
      <c r="Z356" s="55">
        <f>IF(OR(Y356="",Q356=""),"",IF(Y356=Q356,"OK","MISMATCH"))</f>
        <v/>
      </c>
      <c r="AA356" s="43" t="n"/>
    </row>
    <row r="357" ht="15" customHeight="1" s="35">
      <c r="A357" s="43" t="n"/>
      <c r="B357" s="47" t="n"/>
      <c r="C357" s="47" t="n"/>
      <c r="D357" s="47" t="n"/>
      <c r="E357" s="43" t="n"/>
      <c r="F357" s="52" t="n"/>
      <c r="G357" s="43" t="n"/>
      <c r="H357" s="51" t="n"/>
      <c r="I357" s="53">
        <f>IF(B357&lt;&gt;"Expected","",IF(C357="Parking Obstruction",IF(G357="Validation",Settings!$B$9,Settings!$B$8),IF(C357="Drinking",IF(G357="Validation",Settings!$B$11,Settings!$B$10),0)))</f>
        <v/>
      </c>
      <c r="J357" s="54">
        <f>IF(OR(B357&lt;&gt;"Expected",D357&lt;&gt;"Violation",H357=""),"",H357+I357+Settings!$B$5)</f>
        <v/>
      </c>
      <c r="K357" s="43" t="n"/>
      <c r="L357" s="51" t="n"/>
      <c r="M357" s="43" t="n"/>
      <c r="N357" s="54">
        <f>IF(AND(B357="Expected",D357="Violation",K357&lt;&gt;"",ISNUMBER(L357),ISNUMBER(H357)),L357-H357-I357,"")</f>
        <v/>
      </c>
      <c r="O357" s="43" t="n"/>
      <c r="P357" s="47" t="n"/>
      <c r="Q357" s="55">
        <f>IF(A357="","",IF(B357="Expected",IF(D357="Violation",IF(H357="","Needs start",IF(AND(K357&lt;&gt;"",OR(M357&lt;&gt;"Monitoring",Settings!$B$7="Yes"),ISNUMBER(L357),L357&lt;=J357),"TP","FN")),IF(AND(K357&lt;&gt;"",OR(M357&lt;&gt;"Monitoring",Settings!$B$7="Yes")),"FP","TN")),IF(P357="","Needs tag",IF(OR(P357="False alarm",P357="Unscripted – false alarm"),"FP",IF(P357="Duplicate","Duplicate",IF(P357="Late (real act)","Late","Excluded"))))))</f>
        <v/>
      </c>
      <c r="R357" s="47" t="n"/>
      <c r="S357" s="43" t="n"/>
      <c r="T357" s="43" t="n"/>
      <c r="U357" s="43" t="n"/>
      <c r="V357" s="47" t="n"/>
      <c r="W357" s="47" t="n"/>
      <c r="X357" s="52" t="n"/>
      <c r="Y357" s="43" t="n"/>
      <c r="Z357" s="55">
        <f>IF(OR(Y357="",Q357=""),"",IF(Y357=Q357,"OK","MISMATCH"))</f>
        <v/>
      </c>
      <c r="AA357" s="43" t="n"/>
    </row>
    <row r="358" ht="15" customHeight="1" s="35">
      <c r="A358" s="43" t="n"/>
      <c r="B358" s="47" t="n"/>
      <c r="C358" s="47" t="n"/>
      <c r="D358" s="47" t="n"/>
      <c r="E358" s="43" t="n"/>
      <c r="F358" s="52" t="n"/>
      <c r="G358" s="43" t="n"/>
      <c r="H358" s="51" t="n"/>
      <c r="I358" s="53">
        <f>IF(B358&lt;&gt;"Expected","",IF(C358="Parking Obstruction",IF(G358="Validation",Settings!$B$9,Settings!$B$8),IF(C358="Drinking",IF(G358="Validation",Settings!$B$11,Settings!$B$10),0)))</f>
        <v/>
      </c>
      <c r="J358" s="54">
        <f>IF(OR(B358&lt;&gt;"Expected",D358&lt;&gt;"Violation",H358=""),"",H358+I358+Settings!$B$5)</f>
        <v/>
      </c>
      <c r="K358" s="43" t="n"/>
      <c r="L358" s="51" t="n"/>
      <c r="M358" s="43" t="n"/>
      <c r="N358" s="54">
        <f>IF(AND(B358="Expected",D358="Violation",K358&lt;&gt;"",ISNUMBER(L358),ISNUMBER(H358)),L358-H358-I358,"")</f>
        <v/>
      </c>
      <c r="O358" s="43" t="n"/>
      <c r="P358" s="47" t="n"/>
      <c r="Q358" s="55">
        <f>IF(A358="","",IF(B358="Expected",IF(D358="Violation",IF(H358="","Needs start",IF(AND(K358&lt;&gt;"",OR(M358&lt;&gt;"Monitoring",Settings!$B$7="Yes"),ISNUMBER(L358),L358&lt;=J358),"TP","FN")),IF(AND(K358&lt;&gt;"",OR(M358&lt;&gt;"Monitoring",Settings!$B$7="Yes")),"FP","TN")),IF(P358="","Needs tag",IF(OR(P358="False alarm",P358="Unscripted – false alarm"),"FP",IF(P358="Duplicate","Duplicate",IF(P358="Late (real act)","Late","Excluded"))))))</f>
        <v/>
      </c>
      <c r="R358" s="47" t="n"/>
      <c r="S358" s="43" t="n"/>
      <c r="T358" s="43" t="n"/>
      <c r="U358" s="43" t="n"/>
      <c r="V358" s="47" t="n"/>
      <c r="W358" s="47" t="n"/>
      <c r="X358" s="52" t="n"/>
      <c r="Y358" s="43" t="n"/>
      <c r="Z358" s="55">
        <f>IF(OR(Y358="",Q358=""),"",IF(Y358=Q358,"OK","MISMATCH"))</f>
        <v/>
      </c>
      <c r="AA358" s="43" t="n"/>
    </row>
    <row r="359" ht="15" customHeight="1" s="35">
      <c r="A359" s="43" t="n"/>
      <c r="B359" s="47" t="n"/>
      <c r="C359" s="47" t="n"/>
      <c r="D359" s="47" t="n"/>
      <c r="E359" s="43" t="n"/>
      <c r="F359" s="52" t="n"/>
      <c r="G359" s="43" t="n"/>
      <c r="H359" s="51" t="n"/>
      <c r="I359" s="53">
        <f>IF(B359&lt;&gt;"Expected","",IF(C359="Parking Obstruction",IF(G359="Validation",Settings!$B$9,Settings!$B$8),IF(C359="Drinking",IF(G359="Validation",Settings!$B$11,Settings!$B$10),0)))</f>
        <v/>
      </c>
      <c r="J359" s="54">
        <f>IF(OR(B359&lt;&gt;"Expected",D359&lt;&gt;"Violation",H359=""),"",H359+I359+Settings!$B$5)</f>
        <v/>
      </c>
      <c r="K359" s="43" t="n"/>
      <c r="L359" s="51" t="n"/>
      <c r="M359" s="43" t="n"/>
      <c r="N359" s="54">
        <f>IF(AND(B359="Expected",D359="Violation",K359&lt;&gt;"",ISNUMBER(L359),ISNUMBER(H359)),L359-H359-I359,"")</f>
        <v/>
      </c>
      <c r="O359" s="43" t="n"/>
      <c r="P359" s="47" t="n"/>
      <c r="Q359" s="55">
        <f>IF(A359="","",IF(B359="Expected",IF(D359="Violation",IF(H359="","Needs start",IF(AND(K359&lt;&gt;"",OR(M359&lt;&gt;"Monitoring",Settings!$B$7="Yes"),ISNUMBER(L359),L359&lt;=J359),"TP","FN")),IF(AND(K359&lt;&gt;"",OR(M359&lt;&gt;"Monitoring",Settings!$B$7="Yes")),"FP","TN")),IF(P359="","Needs tag",IF(OR(P359="False alarm",P359="Unscripted – false alarm"),"FP",IF(P359="Duplicate","Duplicate",IF(P359="Late (real act)","Late","Excluded"))))))</f>
        <v/>
      </c>
      <c r="R359" s="47" t="n"/>
      <c r="S359" s="43" t="n"/>
      <c r="T359" s="43" t="n"/>
      <c r="U359" s="43" t="n"/>
      <c r="V359" s="47" t="n"/>
      <c r="W359" s="47" t="n"/>
      <c r="X359" s="52" t="n"/>
      <c r="Y359" s="43" t="n"/>
      <c r="Z359" s="55">
        <f>IF(OR(Y359="",Q359=""),"",IF(Y359=Q359,"OK","MISMATCH"))</f>
        <v/>
      </c>
      <c r="AA359" s="43" t="n"/>
    </row>
    <row r="360" ht="15" customHeight="1" s="35">
      <c r="A360" s="43" t="n"/>
      <c r="B360" s="47" t="n"/>
      <c r="C360" s="47" t="n"/>
      <c r="D360" s="47" t="n"/>
      <c r="E360" s="43" t="n"/>
      <c r="F360" s="52" t="n"/>
      <c r="G360" s="43" t="n"/>
      <c r="H360" s="51" t="n"/>
      <c r="I360" s="53">
        <f>IF(B360&lt;&gt;"Expected","",IF(C360="Parking Obstruction",IF(G360="Validation",Settings!$B$9,Settings!$B$8),IF(C360="Drinking",IF(G360="Validation",Settings!$B$11,Settings!$B$10),0)))</f>
        <v/>
      </c>
      <c r="J360" s="54">
        <f>IF(OR(B360&lt;&gt;"Expected",D360&lt;&gt;"Violation",H360=""),"",H360+I360+Settings!$B$5)</f>
        <v/>
      </c>
      <c r="K360" s="43" t="n"/>
      <c r="L360" s="51" t="n"/>
      <c r="M360" s="43" t="n"/>
      <c r="N360" s="54">
        <f>IF(AND(B360="Expected",D360="Violation",K360&lt;&gt;"",ISNUMBER(L360),ISNUMBER(H360)),L360-H360-I360,"")</f>
        <v/>
      </c>
      <c r="O360" s="43" t="n"/>
      <c r="P360" s="47" t="n"/>
      <c r="Q360" s="55">
        <f>IF(A360="","",IF(B360="Expected",IF(D360="Violation",IF(H360="","Needs start",IF(AND(K360&lt;&gt;"",OR(M360&lt;&gt;"Monitoring",Settings!$B$7="Yes"),ISNUMBER(L360),L360&lt;=J360),"TP","FN")),IF(AND(K360&lt;&gt;"",OR(M360&lt;&gt;"Monitoring",Settings!$B$7="Yes")),"FP","TN")),IF(P360="","Needs tag",IF(OR(P360="False alarm",P360="Unscripted – false alarm"),"FP",IF(P360="Duplicate","Duplicate",IF(P360="Late (real act)","Late","Excluded"))))))</f>
        <v/>
      </c>
      <c r="R360" s="47" t="n"/>
      <c r="S360" s="43" t="n"/>
      <c r="T360" s="43" t="n"/>
      <c r="U360" s="43" t="n"/>
      <c r="V360" s="47" t="n"/>
      <c r="W360" s="47" t="n"/>
      <c r="X360" s="52" t="n"/>
      <c r="Y360" s="43" t="n"/>
      <c r="Z360" s="55">
        <f>IF(OR(Y360="",Q360=""),"",IF(Y360=Q360,"OK","MISMATCH"))</f>
        <v/>
      </c>
      <c r="AA360" s="43" t="n"/>
    </row>
    <row r="361" ht="15" customHeight="1" s="35">
      <c r="A361" s="43" t="n"/>
      <c r="B361" s="47" t="n"/>
      <c r="C361" s="47" t="n"/>
      <c r="D361" s="47" t="n"/>
      <c r="E361" s="43" t="n"/>
      <c r="F361" s="52" t="n"/>
      <c r="G361" s="43" t="n"/>
      <c r="H361" s="51" t="n"/>
      <c r="I361" s="53">
        <f>IF(B361&lt;&gt;"Expected","",IF(C361="Parking Obstruction",IF(G361="Validation",Settings!$B$9,Settings!$B$8),IF(C361="Drinking",IF(G361="Validation",Settings!$B$11,Settings!$B$10),0)))</f>
        <v/>
      </c>
      <c r="J361" s="54">
        <f>IF(OR(B361&lt;&gt;"Expected",D361&lt;&gt;"Violation",H361=""),"",H361+I361+Settings!$B$5)</f>
        <v/>
      </c>
      <c r="K361" s="43" t="n"/>
      <c r="L361" s="51" t="n"/>
      <c r="M361" s="43" t="n"/>
      <c r="N361" s="54">
        <f>IF(AND(B361="Expected",D361="Violation",K361&lt;&gt;"",ISNUMBER(L361),ISNUMBER(H361)),L361-H361-I361,"")</f>
        <v/>
      </c>
      <c r="O361" s="43" t="n"/>
      <c r="P361" s="47" t="n"/>
      <c r="Q361" s="55">
        <f>IF(A361="","",IF(B361="Expected",IF(D361="Violation",IF(H361="","Needs start",IF(AND(K361&lt;&gt;"",OR(M361&lt;&gt;"Monitoring",Settings!$B$7="Yes"),ISNUMBER(L361),L361&lt;=J361),"TP","FN")),IF(AND(K361&lt;&gt;"",OR(M361&lt;&gt;"Monitoring",Settings!$B$7="Yes")),"FP","TN")),IF(P361="","Needs tag",IF(OR(P361="False alarm",P361="Unscripted – false alarm"),"FP",IF(P361="Duplicate","Duplicate",IF(P361="Late (real act)","Late","Excluded"))))))</f>
        <v/>
      </c>
      <c r="R361" s="47" t="n"/>
      <c r="S361" s="43" t="n"/>
      <c r="T361" s="43" t="n"/>
      <c r="U361" s="43" t="n"/>
      <c r="V361" s="47" t="n"/>
      <c r="W361" s="47" t="n"/>
      <c r="X361" s="52" t="n"/>
      <c r="Y361" s="43" t="n"/>
      <c r="Z361" s="55">
        <f>IF(OR(Y361="",Q361=""),"",IF(Y361=Q361,"OK","MISMATCH"))</f>
        <v/>
      </c>
      <c r="AA361" s="43" t="n"/>
    </row>
    <row r="362" ht="15" customHeight="1" s="35">
      <c r="A362" s="43" t="n"/>
      <c r="B362" s="47" t="n"/>
      <c r="C362" s="47" t="n"/>
      <c r="D362" s="47" t="n"/>
      <c r="E362" s="43" t="n"/>
      <c r="F362" s="52" t="n"/>
      <c r="G362" s="43" t="n"/>
      <c r="H362" s="51" t="n"/>
      <c r="I362" s="53">
        <f>IF(B362&lt;&gt;"Expected","",IF(C362="Parking Obstruction",IF(G362="Validation",Settings!$B$9,Settings!$B$8),IF(C362="Drinking",IF(G362="Validation",Settings!$B$11,Settings!$B$10),0)))</f>
        <v/>
      </c>
      <c r="J362" s="54">
        <f>IF(OR(B362&lt;&gt;"Expected",D362&lt;&gt;"Violation",H362=""),"",H362+I362+Settings!$B$5)</f>
        <v/>
      </c>
      <c r="K362" s="43" t="n"/>
      <c r="L362" s="51" t="n"/>
      <c r="M362" s="43" t="n"/>
      <c r="N362" s="54">
        <f>IF(AND(B362="Expected",D362="Violation",K362&lt;&gt;"",ISNUMBER(L362),ISNUMBER(H362)),L362-H362-I362,"")</f>
        <v/>
      </c>
      <c r="O362" s="43" t="n"/>
      <c r="P362" s="47" t="n"/>
      <c r="Q362" s="55">
        <f>IF(A362="","",IF(B362="Expected",IF(D362="Violation",IF(H362="","Needs start",IF(AND(K362&lt;&gt;"",OR(M362&lt;&gt;"Monitoring",Settings!$B$7="Yes"),ISNUMBER(L362),L362&lt;=J362),"TP","FN")),IF(AND(K362&lt;&gt;"",OR(M362&lt;&gt;"Monitoring",Settings!$B$7="Yes")),"FP","TN")),IF(P362="","Needs tag",IF(OR(P362="False alarm",P362="Unscripted – false alarm"),"FP",IF(P362="Duplicate","Duplicate",IF(P362="Late (real act)","Late","Excluded"))))))</f>
        <v/>
      </c>
      <c r="R362" s="47" t="n"/>
      <c r="S362" s="43" t="n"/>
      <c r="T362" s="43" t="n"/>
      <c r="U362" s="43" t="n"/>
      <c r="V362" s="47" t="n"/>
      <c r="W362" s="47" t="n"/>
      <c r="X362" s="52" t="n"/>
      <c r="Y362" s="43" t="n"/>
      <c r="Z362" s="55">
        <f>IF(OR(Y362="",Q362=""),"",IF(Y362=Q362,"OK","MISMATCH"))</f>
        <v/>
      </c>
      <c r="AA362" s="43" t="n"/>
    </row>
    <row r="363" ht="15" customHeight="1" s="35">
      <c r="A363" s="43" t="n"/>
      <c r="B363" s="47" t="n"/>
      <c r="C363" s="47" t="n"/>
      <c r="D363" s="47" t="n"/>
      <c r="E363" s="43" t="n"/>
      <c r="F363" s="52" t="n"/>
      <c r="G363" s="43" t="n"/>
      <c r="H363" s="51" t="n"/>
      <c r="I363" s="53">
        <f>IF(B363&lt;&gt;"Expected","",IF(C363="Parking Obstruction",IF(G363="Validation",Settings!$B$9,Settings!$B$8),IF(C363="Drinking",IF(G363="Validation",Settings!$B$11,Settings!$B$10),0)))</f>
        <v/>
      </c>
      <c r="J363" s="54">
        <f>IF(OR(B363&lt;&gt;"Expected",D363&lt;&gt;"Violation",H363=""),"",H363+I363+Settings!$B$5)</f>
        <v/>
      </c>
      <c r="K363" s="43" t="n"/>
      <c r="L363" s="51" t="n"/>
      <c r="M363" s="43" t="n"/>
      <c r="N363" s="54">
        <f>IF(AND(B363="Expected",D363="Violation",K363&lt;&gt;"",ISNUMBER(L363),ISNUMBER(H363)),L363-H363-I363,"")</f>
        <v/>
      </c>
      <c r="O363" s="43" t="n"/>
      <c r="P363" s="47" t="n"/>
      <c r="Q363" s="55">
        <f>IF(A363="","",IF(B363="Expected",IF(D363="Violation",IF(H363="","Needs start",IF(AND(K363&lt;&gt;"",OR(M363&lt;&gt;"Monitoring",Settings!$B$7="Yes"),ISNUMBER(L363),L363&lt;=J363),"TP","FN")),IF(AND(K363&lt;&gt;"",OR(M363&lt;&gt;"Monitoring",Settings!$B$7="Yes")),"FP","TN")),IF(P363="","Needs tag",IF(OR(P363="False alarm",P363="Unscripted – false alarm"),"FP",IF(P363="Duplicate","Duplicate",IF(P363="Late (real act)","Late","Excluded"))))))</f>
        <v/>
      </c>
      <c r="R363" s="47" t="n"/>
      <c r="S363" s="43" t="n"/>
      <c r="T363" s="43" t="n"/>
      <c r="U363" s="43" t="n"/>
      <c r="V363" s="47" t="n"/>
      <c r="W363" s="47" t="n"/>
      <c r="X363" s="52" t="n"/>
      <c r="Y363" s="43" t="n"/>
      <c r="Z363" s="55">
        <f>IF(OR(Y363="",Q363=""),"",IF(Y363=Q363,"OK","MISMATCH"))</f>
        <v/>
      </c>
      <c r="AA363" s="43" t="n"/>
    </row>
    <row r="364" ht="15" customHeight="1" s="35">
      <c r="A364" s="43" t="n"/>
      <c r="B364" s="47" t="n"/>
      <c r="C364" s="47" t="n"/>
      <c r="D364" s="47" t="n"/>
      <c r="E364" s="43" t="n"/>
      <c r="F364" s="52" t="n"/>
      <c r="G364" s="43" t="n"/>
      <c r="H364" s="51" t="n"/>
      <c r="I364" s="53">
        <f>IF(B364&lt;&gt;"Expected","",IF(C364="Parking Obstruction",IF(G364="Validation",Settings!$B$9,Settings!$B$8),IF(C364="Drinking",IF(G364="Validation",Settings!$B$11,Settings!$B$10),0)))</f>
        <v/>
      </c>
      <c r="J364" s="54">
        <f>IF(OR(B364&lt;&gt;"Expected",D364&lt;&gt;"Violation",H364=""),"",H364+I364+Settings!$B$5)</f>
        <v/>
      </c>
      <c r="K364" s="43" t="n"/>
      <c r="L364" s="51" t="n"/>
      <c r="M364" s="43" t="n"/>
      <c r="N364" s="54">
        <f>IF(AND(B364="Expected",D364="Violation",K364&lt;&gt;"",ISNUMBER(L364),ISNUMBER(H364)),L364-H364-I364,"")</f>
        <v/>
      </c>
      <c r="O364" s="43" t="n"/>
      <c r="P364" s="47" t="n"/>
      <c r="Q364" s="55">
        <f>IF(A364="","",IF(B364="Expected",IF(D364="Violation",IF(H364="","Needs start",IF(AND(K364&lt;&gt;"",OR(M364&lt;&gt;"Monitoring",Settings!$B$7="Yes"),ISNUMBER(L364),L364&lt;=J364),"TP","FN")),IF(AND(K364&lt;&gt;"",OR(M364&lt;&gt;"Monitoring",Settings!$B$7="Yes")),"FP","TN")),IF(P364="","Needs tag",IF(OR(P364="False alarm",P364="Unscripted – false alarm"),"FP",IF(P364="Duplicate","Duplicate",IF(P364="Late (real act)","Late","Excluded"))))))</f>
        <v/>
      </c>
      <c r="R364" s="47" t="n"/>
      <c r="S364" s="43" t="n"/>
      <c r="T364" s="43" t="n"/>
      <c r="U364" s="43" t="n"/>
      <c r="V364" s="47" t="n"/>
      <c r="W364" s="47" t="n"/>
      <c r="X364" s="52" t="n"/>
      <c r="Y364" s="43" t="n"/>
      <c r="Z364" s="55">
        <f>IF(OR(Y364="",Q364=""),"",IF(Y364=Q364,"OK","MISMATCH"))</f>
        <v/>
      </c>
      <c r="AA364" s="43" t="n"/>
    </row>
    <row r="365" ht="15" customHeight="1" s="35">
      <c r="A365" s="43" t="n"/>
      <c r="B365" s="47" t="n"/>
      <c r="C365" s="47" t="n"/>
      <c r="D365" s="47" t="n"/>
      <c r="E365" s="43" t="n"/>
      <c r="F365" s="52" t="n"/>
      <c r="G365" s="43" t="n"/>
      <c r="H365" s="51" t="n"/>
      <c r="I365" s="53">
        <f>IF(B365&lt;&gt;"Expected","",IF(C365="Parking Obstruction",IF(G365="Validation",Settings!$B$9,Settings!$B$8),IF(C365="Drinking",IF(G365="Validation",Settings!$B$11,Settings!$B$10),0)))</f>
        <v/>
      </c>
      <c r="J365" s="54">
        <f>IF(OR(B365&lt;&gt;"Expected",D365&lt;&gt;"Violation",H365=""),"",H365+I365+Settings!$B$5)</f>
        <v/>
      </c>
      <c r="K365" s="43" t="n"/>
      <c r="L365" s="51" t="n"/>
      <c r="M365" s="43" t="n"/>
      <c r="N365" s="54">
        <f>IF(AND(B365="Expected",D365="Violation",K365&lt;&gt;"",ISNUMBER(L365),ISNUMBER(H365)),L365-H365-I365,"")</f>
        <v/>
      </c>
      <c r="O365" s="43" t="n"/>
      <c r="P365" s="47" t="n"/>
      <c r="Q365" s="55">
        <f>IF(A365="","",IF(B365="Expected",IF(D365="Violation",IF(H365="","Needs start",IF(AND(K365&lt;&gt;"",OR(M365&lt;&gt;"Monitoring",Settings!$B$7="Yes"),ISNUMBER(L365),L365&lt;=J365),"TP","FN")),IF(AND(K365&lt;&gt;"",OR(M365&lt;&gt;"Monitoring",Settings!$B$7="Yes")),"FP","TN")),IF(P365="","Needs tag",IF(OR(P365="False alarm",P365="Unscripted – false alarm"),"FP",IF(P365="Duplicate","Duplicate",IF(P365="Late (real act)","Late","Excluded"))))))</f>
        <v/>
      </c>
      <c r="R365" s="47" t="n"/>
      <c r="S365" s="43" t="n"/>
      <c r="T365" s="43" t="n"/>
      <c r="U365" s="43" t="n"/>
      <c r="V365" s="47" t="n"/>
      <c r="W365" s="47" t="n"/>
      <c r="X365" s="52" t="n"/>
      <c r="Y365" s="43" t="n"/>
      <c r="Z365" s="55">
        <f>IF(OR(Y365="",Q365=""),"",IF(Y365=Q365,"OK","MISMATCH"))</f>
        <v/>
      </c>
      <c r="AA365" s="43" t="n"/>
    </row>
    <row r="366" ht="15" customHeight="1" s="35">
      <c r="A366" s="43" t="n"/>
      <c r="B366" s="47" t="n"/>
      <c r="C366" s="47" t="n"/>
      <c r="D366" s="47" t="n"/>
      <c r="E366" s="43" t="n"/>
      <c r="F366" s="52" t="n"/>
      <c r="G366" s="43" t="n"/>
      <c r="H366" s="51" t="n"/>
      <c r="I366" s="53">
        <f>IF(B366&lt;&gt;"Expected","",IF(C366="Parking Obstruction",IF(G366="Validation",Settings!$B$9,Settings!$B$8),IF(C366="Drinking",IF(G366="Validation",Settings!$B$11,Settings!$B$10),0)))</f>
        <v/>
      </c>
      <c r="J366" s="54">
        <f>IF(OR(B366&lt;&gt;"Expected",D366&lt;&gt;"Violation",H366=""),"",H366+I366+Settings!$B$5)</f>
        <v/>
      </c>
      <c r="K366" s="43" t="n"/>
      <c r="L366" s="51" t="n"/>
      <c r="M366" s="43" t="n"/>
      <c r="N366" s="54">
        <f>IF(AND(B366="Expected",D366="Violation",K366&lt;&gt;"",ISNUMBER(L366),ISNUMBER(H366)),L366-H366-I366,"")</f>
        <v/>
      </c>
      <c r="O366" s="43" t="n"/>
      <c r="P366" s="47" t="n"/>
      <c r="Q366" s="55">
        <f>IF(A366="","",IF(B366="Expected",IF(D366="Violation",IF(H366="","Needs start",IF(AND(K366&lt;&gt;"",OR(M366&lt;&gt;"Monitoring",Settings!$B$7="Yes"),ISNUMBER(L366),L366&lt;=J366),"TP","FN")),IF(AND(K366&lt;&gt;"",OR(M366&lt;&gt;"Monitoring",Settings!$B$7="Yes")),"FP","TN")),IF(P366="","Needs tag",IF(OR(P366="False alarm",P366="Unscripted – false alarm"),"FP",IF(P366="Duplicate","Duplicate",IF(P366="Late (real act)","Late","Excluded"))))))</f>
        <v/>
      </c>
      <c r="R366" s="47" t="n"/>
      <c r="S366" s="43" t="n"/>
      <c r="T366" s="43" t="n"/>
      <c r="U366" s="43" t="n"/>
      <c r="V366" s="47" t="n"/>
      <c r="W366" s="47" t="n"/>
      <c r="X366" s="52" t="n"/>
      <c r="Y366" s="43" t="n"/>
      <c r="Z366" s="55">
        <f>IF(OR(Y366="",Q366=""),"",IF(Y366=Q366,"OK","MISMATCH"))</f>
        <v/>
      </c>
      <c r="AA366" s="43" t="n"/>
    </row>
    <row r="367" ht="15" customHeight="1" s="35">
      <c r="A367" s="43" t="n"/>
      <c r="B367" s="47" t="n"/>
      <c r="C367" s="47" t="n"/>
      <c r="D367" s="47" t="n"/>
      <c r="E367" s="43" t="n"/>
      <c r="F367" s="52" t="n"/>
      <c r="G367" s="43" t="n"/>
      <c r="H367" s="51" t="n"/>
      <c r="I367" s="53">
        <f>IF(B367&lt;&gt;"Expected","",IF(C367="Parking Obstruction",IF(G367="Validation",Settings!$B$9,Settings!$B$8),IF(C367="Drinking",IF(G367="Validation",Settings!$B$11,Settings!$B$10),0)))</f>
        <v/>
      </c>
      <c r="J367" s="54">
        <f>IF(OR(B367&lt;&gt;"Expected",D367&lt;&gt;"Violation",H367=""),"",H367+I367+Settings!$B$5)</f>
        <v/>
      </c>
      <c r="K367" s="43" t="n"/>
      <c r="L367" s="51" t="n"/>
      <c r="M367" s="43" t="n"/>
      <c r="N367" s="54">
        <f>IF(AND(B367="Expected",D367="Violation",K367&lt;&gt;"",ISNUMBER(L367),ISNUMBER(H367)),L367-H367-I367,"")</f>
        <v/>
      </c>
      <c r="O367" s="43" t="n"/>
      <c r="P367" s="47" t="n"/>
      <c r="Q367" s="55">
        <f>IF(A367="","",IF(B367="Expected",IF(D367="Violation",IF(H367="","Needs start",IF(AND(K367&lt;&gt;"",OR(M367&lt;&gt;"Monitoring",Settings!$B$7="Yes"),ISNUMBER(L367),L367&lt;=J367),"TP","FN")),IF(AND(K367&lt;&gt;"",OR(M367&lt;&gt;"Monitoring",Settings!$B$7="Yes")),"FP","TN")),IF(P367="","Needs tag",IF(OR(P367="False alarm",P367="Unscripted – false alarm"),"FP",IF(P367="Duplicate","Duplicate",IF(P367="Late (real act)","Late","Excluded"))))))</f>
        <v/>
      </c>
      <c r="R367" s="47" t="n"/>
      <c r="S367" s="43" t="n"/>
      <c r="T367" s="43" t="n"/>
      <c r="U367" s="43" t="n"/>
      <c r="V367" s="47" t="n"/>
      <c r="W367" s="47" t="n"/>
      <c r="X367" s="52" t="n"/>
      <c r="Y367" s="43" t="n"/>
      <c r="Z367" s="55">
        <f>IF(OR(Y367="",Q367=""),"",IF(Y367=Q367,"OK","MISMATCH"))</f>
        <v/>
      </c>
      <c r="AA367" s="43" t="n"/>
    </row>
    <row r="368" ht="15" customHeight="1" s="35">
      <c r="A368" s="43" t="n"/>
      <c r="B368" s="47" t="n"/>
      <c r="C368" s="47" t="n"/>
      <c r="D368" s="47" t="n"/>
      <c r="E368" s="43" t="n"/>
      <c r="F368" s="52" t="n"/>
      <c r="G368" s="43" t="n"/>
      <c r="H368" s="51" t="n"/>
      <c r="I368" s="53">
        <f>IF(B368&lt;&gt;"Expected","",IF(C368="Parking Obstruction",IF(G368="Validation",Settings!$B$9,Settings!$B$8),IF(C368="Drinking",IF(G368="Validation",Settings!$B$11,Settings!$B$10),0)))</f>
        <v/>
      </c>
      <c r="J368" s="54">
        <f>IF(OR(B368&lt;&gt;"Expected",D368&lt;&gt;"Violation",H368=""),"",H368+I368+Settings!$B$5)</f>
        <v/>
      </c>
      <c r="K368" s="43" t="n"/>
      <c r="L368" s="51" t="n"/>
      <c r="M368" s="43" t="n"/>
      <c r="N368" s="54">
        <f>IF(AND(B368="Expected",D368="Violation",K368&lt;&gt;"",ISNUMBER(L368),ISNUMBER(H368)),L368-H368-I368,"")</f>
        <v/>
      </c>
      <c r="O368" s="43" t="n"/>
      <c r="P368" s="47" t="n"/>
      <c r="Q368" s="55">
        <f>IF(A368="","",IF(B368="Expected",IF(D368="Violation",IF(H368="","Needs start",IF(AND(K368&lt;&gt;"",OR(M368&lt;&gt;"Monitoring",Settings!$B$7="Yes"),ISNUMBER(L368),L368&lt;=J368),"TP","FN")),IF(AND(K368&lt;&gt;"",OR(M368&lt;&gt;"Monitoring",Settings!$B$7="Yes")),"FP","TN")),IF(P368="","Needs tag",IF(OR(P368="False alarm",P368="Unscripted – false alarm"),"FP",IF(P368="Duplicate","Duplicate",IF(P368="Late (real act)","Late","Excluded"))))))</f>
        <v/>
      </c>
      <c r="R368" s="47" t="n"/>
      <c r="S368" s="43" t="n"/>
      <c r="T368" s="43" t="n"/>
      <c r="U368" s="43" t="n"/>
      <c r="V368" s="47" t="n"/>
      <c r="W368" s="47" t="n"/>
      <c r="X368" s="52" t="n"/>
      <c r="Y368" s="43" t="n"/>
      <c r="Z368" s="55">
        <f>IF(OR(Y368="",Q368=""),"",IF(Y368=Q368,"OK","MISMATCH"))</f>
        <v/>
      </c>
      <c r="AA368" s="43" t="n"/>
    </row>
    <row r="369" ht="15" customHeight="1" s="35">
      <c r="A369" s="43" t="n"/>
      <c r="B369" s="47" t="n"/>
      <c r="C369" s="47" t="n"/>
      <c r="D369" s="47" t="n"/>
      <c r="E369" s="43" t="n"/>
      <c r="F369" s="52" t="n"/>
      <c r="G369" s="43" t="n"/>
      <c r="H369" s="51" t="n"/>
      <c r="I369" s="53">
        <f>IF(B369&lt;&gt;"Expected","",IF(C369="Parking Obstruction",IF(G369="Validation",Settings!$B$9,Settings!$B$8),IF(C369="Drinking",IF(G369="Validation",Settings!$B$11,Settings!$B$10),0)))</f>
        <v/>
      </c>
      <c r="J369" s="54">
        <f>IF(OR(B369&lt;&gt;"Expected",D369&lt;&gt;"Violation",H369=""),"",H369+I369+Settings!$B$5)</f>
        <v/>
      </c>
      <c r="K369" s="43" t="n"/>
      <c r="L369" s="51" t="n"/>
      <c r="M369" s="43" t="n"/>
      <c r="N369" s="54">
        <f>IF(AND(B369="Expected",D369="Violation",K369&lt;&gt;"",ISNUMBER(L369),ISNUMBER(H369)),L369-H369-I369,"")</f>
        <v/>
      </c>
      <c r="O369" s="43" t="n"/>
      <c r="P369" s="47" t="n"/>
      <c r="Q369" s="55">
        <f>IF(A369="","",IF(B369="Expected",IF(D369="Violation",IF(H369="","Needs start",IF(AND(K369&lt;&gt;"",OR(M369&lt;&gt;"Monitoring",Settings!$B$7="Yes"),ISNUMBER(L369),L369&lt;=J369),"TP","FN")),IF(AND(K369&lt;&gt;"",OR(M369&lt;&gt;"Monitoring",Settings!$B$7="Yes")),"FP","TN")),IF(P369="","Needs tag",IF(OR(P369="False alarm",P369="Unscripted – false alarm"),"FP",IF(P369="Duplicate","Duplicate",IF(P369="Late (real act)","Late","Excluded"))))))</f>
        <v/>
      </c>
      <c r="R369" s="47" t="n"/>
      <c r="S369" s="43" t="n"/>
      <c r="T369" s="43" t="n"/>
      <c r="U369" s="43" t="n"/>
      <c r="V369" s="47" t="n"/>
      <c r="W369" s="47" t="n"/>
      <c r="X369" s="52" t="n"/>
      <c r="Y369" s="43" t="n"/>
      <c r="Z369" s="55">
        <f>IF(OR(Y369="",Q369=""),"",IF(Y369=Q369,"OK","MISMATCH"))</f>
        <v/>
      </c>
      <c r="AA369" s="43" t="n"/>
    </row>
    <row r="370" ht="15" customHeight="1" s="35">
      <c r="A370" s="43" t="n"/>
      <c r="B370" s="47" t="n"/>
      <c r="C370" s="47" t="n"/>
      <c r="D370" s="47" t="n"/>
      <c r="E370" s="43" t="n"/>
      <c r="F370" s="52" t="n"/>
      <c r="G370" s="43" t="n"/>
      <c r="H370" s="51" t="n"/>
      <c r="I370" s="53">
        <f>IF(B370&lt;&gt;"Expected","",IF(C370="Parking Obstruction",IF(G370="Validation",Settings!$B$9,Settings!$B$8),IF(C370="Drinking",IF(G370="Validation",Settings!$B$11,Settings!$B$10),0)))</f>
        <v/>
      </c>
      <c r="J370" s="54">
        <f>IF(OR(B370&lt;&gt;"Expected",D370&lt;&gt;"Violation",H370=""),"",H370+I370+Settings!$B$5)</f>
        <v/>
      </c>
      <c r="K370" s="43" t="n"/>
      <c r="L370" s="51" t="n"/>
      <c r="M370" s="43" t="n"/>
      <c r="N370" s="54">
        <f>IF(AND(B370="Expected",D370="Violation",K370&lt;&gt;"",ISNUMBER(L370),ISNUMBER(H370)),L370-H370-I370,"")</f>
        <v/>
      </c>
      <c r="O370" s="43" t="n"/>
      <c r="P370" s="47" t="n"/>
      <c r="Q370" s="55">
        <f>IF(A370="","",IF(B370="Expected",IF(D370="Violation",IF(H370="","Needs start",IF(AND(K370&lt;&gt;"",OR(M370&lt;&gt;"Monitoring",Settings!$B$7="Yes"),ISNUMBER(L370),L370&lt;=J370),"TP","FN")),IF(AND(K370&lt;&gt;"",OR(M370&lt;&gt;"Monitoring",Settings!$B$7="Yes")),"FP","TN")),IF(P370="","Needs tag",IF(OR(P370="False alarm",P370="Unscripted – false alarm"),"FP",IF(P370="Duplicate","Duplicate",IF(P370="Late (real act)","Late","Excluded"))))))</f>
        <v/>
      </c>
      <c r="R370" s="47" t="n"/>
      <c r="S370" s="43" t="n"/>
      <c r="T370" s="43" t="n"/>
      <c r="U370" s="43" t="n"/>
      <c r="V370" s="47" t="n"/>
      <c r="W370" s="47" t="n"/>
      <c r="X370" s="52" t="n"/>
      <c r="Y370" s="43" t="n"/>
      <c r="Z370" s="55">
        <f>IF(OR(Y370="",Q370=""),"",IF(Y370=Q370,"OK","MISMATCH"))</f>
        <v/>
      </c>
      <c r="AA370" s="43" t="n"/>
    </row>
    <row r="371" ht="15" customHeight="1" s="35">
      <c r="A371" s="43" t="n"/>
      <c r="B371" s="47" t="n"/>
      <c r="C371" s="47" t="n"/>
      <c r="D371" s="47" t="n"/>
      <c r="E371" s="43" t="n"/>
      <c r="F371" s="52" t="n"/>
      <c r="G371" s="43" t="n"/>
      <c r="H371" s="51" t="n"/>
      <c r="I371" s="53">
        <f>IF(B371&lt;&gt;"Expected","",IF(C371="Parking Obstruction",IF(G371="Validation",Settings!$B$9,Settings!$B$8),IF(C371="Drinking",IF(G371="Validation",Settings!$B$11,Settings!$B$10),0)))</f>
        <v/>
      </c>
      <c r="J371" s="54">
        <f>IF(OR(B371&lt;&gt;"Expected",D371&lt;&gt;"Violation",H371=""),"",H371+I371+Settings!$B$5)</f>
        <v/>
      </c>
      <c r="K371" s="43" t="n"/>
      <c r="L371" s="51" t="n"/>
      <c r="M371" s="43" t="n"/>
      <c r="N371" s="54">
        <f>IF(AND(B371="Expected",D371="Violation",K371&lt;&gt;"",ISNUMBER(L371),ISNUMBER(H371)),L371-H371-I371,"")</f>
        <v/>
      </c>
      <c r="O371" s="43" t="n"/>
      <c r="P371" s="47" t="n"/>
      <c r="Q371" s="55">
        <f>IF(A371="","",IF(B371="Expected",IF(D371="Violation",IF(H371="","Needs start",IF(AND(K371&lt;&gt;"",OR(M371&lt;&gt;"Monitoring",Settings!$B$7="Yes"),ISNUMBER(L371),L371&lt;=J371),"TP","FN")),IF(AND(K371&lt;&gt;"",OR(M371&lt;&gt;"Monitoring",Settings!$B$7="Yes")),"FP","TN")),IF(P371="","Needs tag",IF(OR(P371="False alarm",P371="Unscripted – false alarm"),"FP",IF(P371="Duplicate","Duplicate",IF(P371="Late (real act)","Late","Excluded"))))))</f>
        <v/>
      </c>
      <c r="R371" s="47" t="n"/>
      <c r="S371" s="43" t="n"/>
      <c r="T371" s="43" t="n"/>
      <c r="U371" s="43" t="n"/>
      <c r="V371" s="47" t="n"/>
      <c r="W371" s="47" t="n"/>
      <c r="X371" s="52" t="n"/>
      <c r="Y371" s="43" t="n"/>
      <c r="Z371" s="55">
        <f>IF(OR(Y371="",Q371=""),"",IF(Y371=Q371,"OK","MISMATCH"))</f>
        <v/>
      </c>
      <c r="AA371" s="43" t="n"/>
    </row>
    <row r="372" ht="15" customHeight="1" s="35">
      <c r="A372" s="43" t="n"/>
      <c r="B372" s="47" t="n"/>
      <c r="C372" s="47" t="n"/>
      <c r="D372" s="47" t="n"/>
      <c r="E372" s="43" t="n"/>
      <c r="F372" s="52" t="n"/>
      <c r="G372" s="43" t="n"/>
      <c r="H372" s="51" t="n"/>
      <c r="I372" s="53">
        <f>IF(B372&lt;&gt;"Expected","",IF(C372="Parking Obstruction",IF(G372="Validation",Settings!$B$9,Settings!$B$8),IF(C372="Drinking",IF(G372="Validation",Settings!$B$11,Settings!$B$10),0)))</f>
        <v/>
      </c>
      <c r="J372" s="54">
        <f>IF(OR(B372&lt;&gt;"Expected",D372&lt;&gt;"Violation",H372=""),"",H372+I372+Settings!$B$5)</f>
        <v/>
      </c>
      <c r="K372" s="43" t="n"/>
      <c r="L372" s="51" t="n"/>
      <c r="M372" s="43" t="n"/>
      <c r="N372" s="54">
        <f>IF(AND(B372="Expected",D372="Violation",K372&lt;&gt;"",ISNUMBER(L372),ISNUMBER(H372)),L372-H372-I372,"")</f>
        <v/>
      </c>
      <c r="O372" s="43" t="n"/>
      <c r="P372" s="47" t="n"/>
      <c r="Q372" s="55">
        <f>IF(A372="","",IF(B372="Expected",IF(D372="Violation",IF(H372="","Needs start",IF(AND(K372&lt;&gt;"",OR(M372&lt;&gt;"Monitoring",Settings!$B$7="Yes"),ISNUMBER(L372),L372&lt;=J372),"TP","FN")),IF(AND(K372&lt;&gt;"",OR(M372&lt;&gt;"Monitoring",Settings!$B$7="Yes")),"FP","TN")),IF(P372="","Needs tag",IF(OR(P372="False alarm",P372="Unscripted – false alarm"),"FP",IF(P372="Duplicate","Duplicate",IF(P372="Late (real act)","Late","Excluded"))))))</f>
        <v/>
      </c>
      <c r="R372" s="47" t="n"/>
      <c r="S372" s="43" t="n"/>
      <c r="T372" s="43" t="n"/>
      <c r="U372" s="43" t="n"/>
      <c r="V372" s="47" t="n"/>
      <c r="W372" s="47" t="n"/>
      <c r="X372" s="52" t="n"/>
      <c r="Y372" s="43" t="n"/>
      <c r="Z372" s="55">
        <f>IF(OR(Y372="",Q372=""),"",IF(Y372=Q372,"OK","MISMATCH"))</f>
        <v/>
      </c>
      <c r="AA372" s="43" t="n"/>
    </row>
    <row r="373" ht="15" customHeight="1" s="35">
      <c r="A373" s="43" t="n"/>
      <c r="B373" s="47" t="n"/>
      <c r="C373" s="47" t="n"/>
      <c r="D373" s="47" t="n"/>
      <c r="E373" s="43" t="n"/>
      <c r="F373" s="52" t="n"/>
      <c r="G373" s="43" t="n"/>
      <c r="H373" s="51" t="n"/>
      <c r="I373" s="53">
        <f>IF(B373&lt;&gt;"Expected","",IF(C373="Parking Obstruction",IF(G373="Validation",Settings!$B$9,Settings!$B$8),IF(C373="Drinking",IF(G373="Validation",Settings!$B$11,Settings!$B$10),0)))</f>
        <v/>
      </c>
      <c r="J373" s="54">
        <f>IF(OR(B373&lt;&gt;"Expected",D373&lt;&gt;"Violation",H373=""),"",H373+I373+Settings!$B$5)</f>
        <v/>
      </c>
      <c r="K373" s="43" t="n"/>
      <c r="L373" s="51" t="n"/>
      <c r="M373" s="43" t="n"/>
      <c r="N373" s="54">
        <f>IF(AND(B373="Expected",D373="Violation",K373&lt;&gt;"",ISNUMBER(L373),ISNUMBER(H373)),L373-H373-I373,"")</f>
        <v/>
      </c>
      <c r="O373" s="43" t="n"/>
      <c r="P373" s="47" t="n"/>
      <c r="Q373" s="55">
        <f>IF(A373="","",IF(B373="Expected",IF(D373="Violation",IF(H373="","Needs start",IF(AND(K373&lt;&gt;"",OR(M373&lt;&gt;"Monitoring",Settings!$B$7="Yes"),ISNUMBER(L373),L373&lt;=J373),"TP","FN")),IF(AND(K373&lt;&gt;"",OR(M373&lt;&gt;"Monitoring",Settings!$B$7="Yes")),"FP","TN")),IF(P373="","Needs tag",IF(OR(P373="False alarm",P373="Unscripted – false alarm"),"FP",IF(P373="Duplicate","Duplicate",IF(P373="Late (real act)","Late","Excluded"))))))</f>
        <v/>
      </c>
      <c r="R373" s="47" t="n"/>
      <c r="S373" s="43" t="n"/>
      <c r="T373" s="43" t="n"/>
      <c r="U373" s="43" t="n"/>
      <c r="V373" s="47" t="n"/>
      <c r="W373" s="47" t="n"/>
      <c r="X373" s="52" t="n"/>
      <c r="Y373" s="43" t="n"/>
      <c r="Z373" s="55">
        <f>IF(OR(Y373="",Q373=""),"",IF(Y373=Q373,"OK","MISMATCH"))</f>
        <v/>
      </c>
      <c r="AA373" s="43" t="n"/>
    </row>
    <row r="374" ht="15" customHeight="1" s="35">
      <c r="A374" s="43" t="n"/>
      <c r="B374" s="47" t="n"/>
      <c r="C374" s="47" t="n"/>
      <c r="D374" s="47" t="n"/>
      <c r="E374" s="43" t="n"/>
      <c r="F374" s="52" t="n"/>
      <c r="G374" s="43" t="n"/>
      <c r="H374" s="51" t="n"/>
      <c r="I374" s="53">
        <f>IF(B374&lt;&gt;"Expected","",IF(C374="Parking Obstruction",IF(G374="Validation",Settings!$B$9,Settings!$B$8),IF(C374="Drinking",IF(G374="Validation",Settings!$B$11,Settings!$B$10),0)))</f>
        <v/>
      </c>
      <c r="J374" s="54">
        <f>IF(OR(B374&lt;&gt;"Expected",D374&lt;&gt;"Violation",H374=""),"",H374+I374+Settings!$B$5)</f>
        <v/>
      </c>
      <c r="K374" s="43" t="n"/>
      <c r="L374" s="51" t="n"/>
      <c r="M374" s="43" t="n"/>
      <c r="N374" s="54">
        <f>IF(AND(B374="Expected",D374="Violation",K374&lt;&gt;"",ISNUMBER(L374),ISNUMBER(H374)),L374-H374-I374,"")</f>
        <v/>
      </c>
      <c r="O374" s="43" t="n"/>
      <c r="P374" s="47" t="n"/>
      <c r="Q374" s="55">
        <f>IF(A374="","",IF(B374="Expected",IF(D374="Violation",IF(H374="","Needs start",IF(AND(K374&lt;&gt;"",OR(M374&lt;&gt;"Monitoring",Settings!$B$7="Yes"),ISNUMBER(L374),L374&lt;=J374),"TP","FN")),IF(AND(K374&lt;&gt;"",OR(M374&lt;&gt;"Monitoring",Settings!$B$7="Yes")),"FP","TN")),IF(P374="","Needs tag",IF(OR(P374="False alarm",P374="Unscripted – false alarm"),"FP",IF(P374="Duplicate","Duplicate",IF(P374="Late (real act)","Late","Excluded"))))))</f>
        <v/>
      </c>
      <c r="R374" s="47" t="n"/>
      <c r="S374" s="43" t="n"/>
      <c r="T374" s="43" t="n"/>
      <c r="U374" s="43" t="n"/>
      <c r="V374" s="47" t="n"/>
      <c r="W374" s="47" t="n"/>
      <c r="X374" s="52" t="n"/>
      <c r="Y374" s="43" t="n"/>
      <c r="Z374" s="55">
        <f>IF(OR(Y374="",Q374=""),"",IF(Y374=Q374,"OK","MISMATCH"))</f>
        <v/>
      </c>
      <c r="AA374" s="43" t="n"/>
    </row>
    <row r="375" ht="15" customHeight="1" s="35">
      <c r="A375" s="43" t="n"/>
      <c r="B375" s="47" t="n"/>
      <c r="C375" s="47" t="n"/>
      <c r="D375" s="47" t="n"/>
      <c r="E375" s="43" t="n"/>
      <c r="F375" s="52" t="n"/>
      <c r="G375" s="43" t="n"/>
      <c r="H375" s="51" t="n"/>
      <c r="I375" s="53">
        <f>IF(B375&lt;&gt;"Expected","",IF(C375="Parking Obstruction",IF(G375="Validation",Settings!$B$9,Settings!$B$8),IF(C375="Drinking",IF(G375="Validation",Settings!$B$11,Settings!$B$10),0)))</f>
        <v/>
      </c>
      <c r="J375" s="54">
        <f>IF(OR(B375&lt;&gt;"Expected",D375&lt;&gt;"Violation",H375=""),"",H375+I375+Settings!$B$5)</f>
        <v/>
      </c>
      <c r="K375" s="43" t="n"/>
      <c r="L375" s="51" t="n"/>
      <c r="M375" s="43" t="n"/>
      <c r="N375" s="54">
        <f>IF(AND(B375="Expected",D375="Violation",K375&lt;&gt;"",ISNUMBER(L375),ISNUMBER(H375)),L375-H375-I375,"")</f>
        <v/>
      </c>
      <c r="O375" s="43" t="n"/>
      <c r="P375" s="47" t="n"/>
      <c r="Q375" s="55">
        <f>IF(A375="","",IF(B375="Expected",IF(D375="Violation",IF(H375="","Needs start",IF(AND(K375&lt;&gt;"",OR(M375&lt;&gt;"Monitoring",Settings!$B$7="Yes"),ISNUMBER(L375),L375&lt;=J375),"TP","FN")),IF(AND(K375&lt;&gt;"",OR(M375&lt;&gt;"Monitoring",Settings!$B$7="Yes")),"FP","TN")),IF(P375="","Needs tag",IF(OR(P375="False alarm",P375="Unscripted – false alarm"),"FP",IF(P375="Duplicate","Duplicate",IF(P375="Late (real act)","Late","Excluded"))))))</f>
        <v/>
      </c>
      <c r="R375" s="47" t="n"/>
      <c r="S375" s="43" t="n"/>
      <c r="T375" s="43" t="n"/>
      <c r="U375" s="43" t="n"/>
      <c r="V375" s="47" t="n"/>
      <c r="W375" s="47" t="n"/>
      <c r="X375" s="52" t="n"/>
      <c r="Y375" s="43" t="n"/>
      <c r="Z375" s="55">
        <f>IF(OR(Y375="",Q375=""),"",IF(Y375=Q375,"OK","MISMATCH"))</f>
        <v/>
      </c>
      <c r="AA375" s="43" t="n"/>
    </row>
    <row r="376" ht="15" customHeight="1" s="35">
      <c r="A376" s="43" t="n"/>
      <c r="B376" s="47" t="n"/>
      <c r="C376" s="47" t="n"/>
      <c r="D376" s="47" t="n"/>
      <c r="E376" s="43" t="n"/>
      <c r="F376" s="52" t="n"/>
      <c r="G376" s="43" t="n"/>
      <c r="H376" s="51" t="n"/>
      <c r="I376" s="53">
        <f>IF(B376&lt;&gt;"Expected","",IF(C376="Parking Obstruction",IF(G376="Validation",Settings!$B$9,Settings!$B$8),IF(C376="Drinking",IF(G376="Validation",Settings!$B$11,Settings!$B$10),0)))</f>
        <v/>
      </c>
      <c r="J376" s="54">
        <f>IF(OR(B376&lt;&gt;"Expected",D376&lt;&gt;"Violation",H376=""),"",H376+I376+Settings!$B$5)</f>
        <v/>
      </c>
      <c r="K376" s="43" t="n"/>
      <c r="L376" s="51" t="n"/>
      <c r="M376" s="43" t="n"/>
      <c r="N376" s="54">
        <f>IF(AND(B376="Expected",D376="Violation",K376&lt;&gt;"",ISNUMBER(L376),ISNUMBER(H376)),L376-H376-I376,"")</f>
        <v/>
      </c>
      <c r="O376" s="43" t="n"/>
      <c r="P376" s="47" t="n"/>
      <c r="Q376" s="55">
        <f>IF(A376="","",IF(B376="Expected",IF(D376="Violation",IF(H376="","Needs start",IF(AND(K376&lt;&gt;"",OR(M376&lt;&gt;"Monitoring",Settings!$B$7="Yes"),ISNUMBER(L376),L376&lt;=J376),"TP","FN")),IF(AND(K376&lt;&gt;"",OR(M376&lt;&gt;"Monitoring",Settings!$B$7="Yes")),"FP","TN")),IF(P376="","Needs tag",IF(OR(P376="False alarm",P376="Unscripted – false alarm"),"FP",IF(P376="Duplicate","Duplicate",IF(P376="Late (real act)","Late","Excluded"))))))</f>
        <v/>
      </c>
      <c r="R376" s="47" t="n"/>
      <c r="S376" s="43" t="n"/>
      <c r="T376" s="43" t="n"/>
      <c r="U376" s="43" t="n"/>
      <c r="V376" s="47" t="n"/>
      <c r="W376" s="47" t="n"/>
      <c r="X376" s="52" t="n"/>
      <c r="Y376" s="43" t="n"/>
      <c r="Z376" s="55">
        <f>IF(OR(Y376="",Q376=""),"",IF(Y376=Q376,"OK","MISMATCH"))</f>
        <v/>
      </c>
      <c r="AA376" s="43" t="n"/>
    </row>
    <row r="377" ht="15" customHeight="1" s="35">
      <c r="A377" s="43" t="n"/>
      <c r="B377" s="47" t="n"/>
      <c r="C377" s="47" t="n"/>
      <c r="D377" s="47" t="n"/>
      <c r="E377" s="43" t="n"/>
      <c r="F377" s="52" t="n"/>
      <c r="G377" s="43" t="n"/>
      <c r="H377" s="51" t="n"/>
      <c r="I377" s="53">
        <f>IF(B377&lt;&gt;"Expected","",IF(C377="Parking Obstruction",IF(G377="Validation",Settings!$B$9,Settings!$B$8),IF(C377="Drinking",IF(G377="Validation",Settings!$B$11,Settings!$B$10),0)))</f>
        <v/>
      </c>
      <c r="J377" s="54">
        <f>IF(OR(B377&lt;&gt;"Expected",D377&lt;&gt;"Violation",H377=""),"",H377+I377+Settings!$B$5)</f>
        <v/>
      </c>
      <c r="K377" s="43" t="n"/>
      <c r="L377" s="51" t="n"/>
      <c r="M377" s="43" t="n"/>
      <c r="N377" s="54">
        <f>IF(AND(B377="Expected",D377="Violation",K377&lt;&gt;"",ISNUMBER(L377),ISNUMBER(H377)),L377-H377-I377,"")</f>
        <v/>
      </c>
      <c r="O377" s="43" t="n"/>
      <c r="P377" s="47" t="n"/>
      <c r="Q377" s="55">
        <f>IF(A377="","",IF(B377="Expected",IF(D377="Violation",IF(H377="","Needs start",IF(AND(K377&lt;&gt;"",OR(M377&lt;&gt;"Monitoring",Settings!$B$7="Yes"),ISNUMBER(L377),L377&lt;=J377),"TP","FN")),IF(AND(K377&lt;&gt;"",OR(M377&lt;&gt;"Monitoring",Settings!$B$7="Yes")),"FP","TN")),IF(P377="","Needs tag",IF(OR(P377="False alarm",P377="Unscripted – false alarm"),"FP",IF(P377="Duplicate","Duplicate",IF(P377="Late (real act)","Late","Excluded"))))))</f>
        <v/>
      </c>
      <c r="R377" s="47" t="n"/>
      <c r="S377" s="43" t="n"/>
      <c r="T377" s="43" t="n"/>
      <c r="U377" s="43" t="n"/>
      <c r="V377" s="47" t="n"/>
      <c r="W377" s="47" t="n"/>
      <c r="X377" s="52" t="n"/>
      <c r="Y377" s="43" t="n"/>
      <c r="Z377" s="55">
        <f>IF(OR(Y377="",Q377=""),"",IF(Y377=Q377,"OK","MISMATCH"))</f>
        <v/>
      </c>
      <c r="AA377" s="43" t="n"/>
    </row>
    <row r="378" ht="15" customHeight="1" s="35">
      <c r="A378" s="43" t="n"/>
      <c r="B378" s="47" t="n"/>
      <c r="C378" s="47" t="n"/>
      <c r="D378" s="47" t="n"/>
      <c r="E378" s="43" t="n"/>
      <c r="F378" s="52" t="n"/>
      <c r="G378" s="43" t="n"/>
      <c r="H378" s="51" t="n"/>
      <c r="I378" s="53">
        <f>IF(B378&lt;&gt;"Expected","",IF(C378="Parking Obstruction",IF(G378="Validation",Settings!$B$9,Settings!$B$8),IF(C378="Drinking",IF(G378="Validation",Settings!$B$11,Settings!$B$10),0)))</f>
        <v/>
      </c>
      <c r="J378" s="54">
        <f>IF(OR(B378&lt;&gt;"Expected",D378&lt;&gt;"Violation",H378=""),"",H378+I378+Settings!$B$5)</f>
        <v/>
      </c>
      <c r="K378" s="43" t="n"/>
      <c r="L378" s="51" t="n"/>
      <c r="M378" s="43" t="n"/>
      <c r="N378" s="54">
        <f>IF(AND(B378="Expected",D378="Violation",K378&lt;&gt;"",ISNUMBER(L378),ISNUMBER(H378)),L378-H378-I378,"")</f>
        <v/>
      </c>
      <c r="O378" s="43" t="n"/>
      <c r="P378" s="47" t="n"/>
      <c r="Q378" s="55">
        <f>IF(A378="","",IF(B378="Expected",IF(D378="Violation",IF(H378="","Needs start",IF(AND(K378&lt;&gt;"",OR(M378&lt;&gt;"Monitoring",Settings!$B$7="Yes"),ISNUMBER(L378),L378&lt;=J378),"TP","FN")),IF(AND(K378&lt;&gt;"",OR(M378&lt;&gt;"Monitoring",Settings!$B$7="Yes")),"FP","TN")),IF(P378="","Needs tag",IF(OR(P378="False alarm",P378="Unscripted – false alarm"),"FP",IF(P378="Duplicate","Duplicate",IF(P378="Late (real act)","Late","Excluded"))))))</f>
        <v/>
      </c>
      <c r="R378" s="47" t="n"/>
      <c r="S378" s="43" t="n"/>
      <c r="T378" s="43" t="n"/>
      <c r="U378" s="43" t="n"/>
      <c r="V378" s="47" t="n"/>
      <c r="W378" s="47" t="n"/>
      <c r="X378" s="52" t="n"/>
      <c r="Y378" s="43" t="n"/>
      <c r="Z378" s="55">
        <f>IF(OR(Y378="",Q378=""),"",IF(Y378=Q378,"OK","MISMATCH"))</f>
        <v/>
      </c>
      <c r="AA378" s="43" t="n"/>
    </row>
    <row r="379" ht="15" customHeight="1" s="35">
      <c r="A379" s="43" t="n"/>
      <c r="B379" s="47" t="n"/>
      <c r="C379" s="47" t="n"/>
      <c r="D379" s="47" t="n"/>
      <c r="E379" s="43" t="n"/>
      <c r="F379" s="52" t="n"/>
      <c r="G379" s="43" t="n"/>
      <c r="H379" s="51" t="n"/>
      <c r="I379" s="53">
        <f>IF(B379&lt;&gt;"Expected","",IF(C379="Parking Obstruction",IF(G379="Validation",Settings!$B$9,Settings!$B$8),IF(C379="Drinking",IF(G379="Validation",Settings!$B$11,Settings!$B$10),0)))</f>
        <v/>
      </c>
      <c r="J379" s="54">
        <f>IF(OR(B379&lt;&gt;"Expected",D379&lt;&gt;"Violation",H379=""),"",H379+I379+Settings!$B$5)</f>
        <v/>
      </c>
      <c r="K379" s="43" t="n"/>
      <c r="L379" s="51" t="n"/>
      <c r="M379" s="43" t="n"/>
      <c r="N379" s="54">
        <f>IF(AND(B379="Expected",D379="Violation",K379&lt;&gt;"",ISNUMBER(L379),ISNUMBER(H379)),L379-H379-I379,"")</f>
        <v/>
      </c>
      <c r="O379" s="43" t="n"/>
      <c r="P379" s="47" t="n"/>
      <c r="Q379" s="55">
        <f>IF(A379="","",IF(B379="Expected",IF(D379="Violation",IF(H379="","Needs start",IF(AND(K379&lt;&gt;"",OR(M379&lt;&gt;"Monitoring",Settings!$B$7="Yes"),ISNUMBER(L379),L379&lt;=J379),"TP","FN")),IF(AND(K379&lt;&gt;"",OR(M379&lt;&gt;"Monitoring",Settings!$B$7="Yes")),"FP","TN")),IF(P379="","Needs tag",IF(OR(P379="False alarm",P379="Unscripted – false alarm"),"FP",IF(P379="Duplicate","Duplicate",IF(P379="Late (real act)","Late","Excluded"))))))</f>
        <v/>
      </c>
      <c r="R379" s="47" t="n"/>
      <c r="S379" s="43" t="n"/>
      <c r="T379" s="43" t="n"/>
      <c r="U379" s="43" t="n"/>
      <c r="V379" s="47" t="n"/>
      <c r="W379" s="47" t="n"/>
      <c r="X379" s="52" t="n"/>
      <c r="Y379" s="43" t="n"/>
      <c r="Z379" s="55">
        <f>IF(OR(Y379="",Q379=""),"",IF(Y379=Q379,"OK","MISMATCH"))</f>
        <v/>
      </c>
      <c r="AA379" s="43" t="n"/>
    </row>
    <row r="380" ht="15" customHeight="1" s="35">
      <c r="A380" s="43" t="n"/>
      <c r="B380" s="47" t="n"/>
      <c r="C380" s="47" t="n"/>
      <c r="D380" s="47" t="n"/>
      <c r="E380" s="43" t="n"/>
      <c r="F380" s="52" t="n"/>
      <c r="G380" s="43" t="n"/>
      <c r="H380" s="51" t="n"/>
      <c r="I380" s="53">
        <f>IF(B380&lt;&gt;"Expected","",IF(C380="Parking Obstruction",IF(G380="Validation",Settings!$B$9,Settings!$B$8),IF(C380="Drinking",IF(G380="Validation",Settings!$B$11,Settings!$B$10),0)))</f>
        <v/>
      </c>
      <c r="J380" s="54">
        <f>IF(OR(B380&lt;&gt;"Expected",D380&lt;&gt;"Violation",H380=""),"",H380+I380+Settings!$B$5)</f>
        <v/>
      </c>
      <c r="K380" s="43" t="n"/>
      <c r="L380" s="51" t="n"/>
      <c r="M380" s="43" t="n"/>
      <c r="N380" s="54">
        <f>IF(AND(B380="Expected",D380="Violation",K380&lt;&gt;"",ISNUMBER(L380),ISNUMBER(H380)),L380-H380-I380,"")</f>
        <v/>
      </c>
      <c r="O380" s="43" t="n"/>
      <c r="P380" s="47" t="n"/>
      <c r="Q380" s="55">
        <f>IF(A380="","",IF(B380="Expected",IF(D380="Violation",IF(H380="","Needs start",IF(AND(K380&lt;&gt;"",OR(M380&lt;&gt;"Monitoring",Settings!$B$7="Yes"),ISNUMBER(L380),L380&lt;=J380),"TP","FN")),IF(AND(K380&lt;&gt;"",OR(M380&lt;&gt;"Monitoring",Settings!$B$7="Yes")),"FP","TN")),IF(P380="","Needs tag",IF(OR(P380="False alarm",P380="Unscripted – false alarm"),"FP",IF(P380="Duplicate","Duplicate",IF(P380="Late (real act)","Late","Excluded"))))))</f>
        <v/>
      </c>
      <c r="R380" s="47" t="n"/>
      <c r="S380" s="43" t="n"/>
      <c r="T380" s="43" t="n"/>
      <c r="U380" s="43" t="n"/>
      <c r="V380" s="47" t="n"/>
      <c r="W380" s="47" t="n"/>
      <c r="X380" s="52" t="n"/>
      <c r="Y380" s="43" t="n"/>
      <c r="Z380" s="55">
        <f>IF(OR(Y380="",Q380=""),"",IF(Y380=Q380,"OK","MISMATCH"))</f>
        <v/>
      </c>
      <c r="AA380" s="43" t="n"/>
    </row>
    <row r="381" ht="15" customHeight="1" s="35">
      <c r="A381" s="43" t="n"/>
      <c r="B381" s="47" t="n"/>
      <c r="C381" s="47" t="n"/>
      <c r="D381" s="47" t="n"/>
      <c r="E381" s="43" t="n"/>
      <c r="F381" s="52" t="n"/>
      <c r="G381" s="43" t="n"/>
      <c r="H381" s="51" t="n"/>
      <c r="I381" s="53">
        <f>IF(B381&lt;&gt;"Expected","",IF(C381="Parking Obstruction",IF(G381="Validation",Settings!$B$9,Settings!$B$8),IF(C381="Drinking",IF(G381="Validation",Settings!$B$11,Settings!$B$10),0)))</f>
        <v/>
      </c>
      <c r="J381" s="54">
        <f>IF(OR(B381&lt;&gt;"Expected",D381&lt;&gt;"Violation",H381=""),"",H381+I381+Settings!$B$5)</f>
        <v/>
      </c>
      <c r="K381" s="43" t="n"/>
      <c r="L381" s="51" t="n"/>
      <c r="M381" s="43" t="n"/>
      <c r="N381" s="54">
        <f>IF(AND(B381="Expected",D381="Violation",K381&lt;&gt;"",ISNUMBER(L381),ISNUMBER(H381)),L381-H381-I381,"")</f>
        <v/>
      </c>
      <c r="O381" s="43" t="n"/>
      <c r="P381" s="47" t="n"/>
      <c r="Q381" s="55">
        <f>IF(A381="","",IF(B381="Expected",IF(D381="Violation",IF(H381="","Needs start",IF(AND(K381&lt;&gt;"",OR(M381&lt;&gt;"Monitoring",Settings!$B$7="Yes"),ISNUMBER(L381),L381&lt;=J381),"TP","FN")),IF(AND(K381&lt;&gt;"",OR(M381&lt;&gt;"Monitoring",Settings!$B$7="Yes")),"FP","TN")),IF(P381="","Needs tag",IF(OR(P381="False alarm",P381="Unscripted – false alarm"),"FP",IF(P381="Duplicate","Duplicate",IF(P381="Late (real act)","Late","Excluded"))))))</f>
        <v/>
      </c>
      <c r="R381" s="47" t="n"/>
      <c r="S381" s="43" t="n"/>
      <c r="T381" s="43" t="n"/>
      <c r="U381" s="43" t="n"/>
      <c r="V381" s="47" t="n"/>
      <c r="W381" s="47" t="n"/>
      <c r="X381" s="52" t="n"/>
      <c r="Y381" s="43" t="n"/>
      <c r="Z381" s="55">
        <f>IF(OR(Y381="",Q381=""),"",IF(Y381=Q381,"OK","MISMATCH"))</f>
        <v/>
      </c>
      <c r="AA381" s="43" t="n"/>
    </row>
    <row r="382" ht="15" customHeight="1" s="35">
      <c r="A382" s="43" t="n"/>
      <c r="B382" s="47" t="n"/>
      <c r="C382" s="47" t="n"/>
      <c r="D382" s="47" t="n"/>
      <c r="E382" s="43" t="n"/>
      <c r="F382" s="52" t="n"/>
      <c r="G382" s="43" t="n"/>
      <c r="H382" s="51" t="n"/>
      <c r="I382" s="53">
        <f>IF(B382&lt;&gt;"Expected","",IF(C382="Parking Obstruction",IF(G382="Validation",Settings!$B$9,Settings!$B$8),IF(C382="Drinking",IF(G382="Validation",Settings!$B$11,Settings!$B$10),0)))</f>
        <v/>
      </c>
      <c r="J382" s="54">
        <f>IF(OR(B382&lt;&gt;"Expected",D382&lt;&gt;"Violation",H382=""),"",H382+I382+Settings!$B$5)</f>
        <v/>
      </c>
      <c r="K382" s="43" t="n"/>
      <c r="L382" s="51" t="n"/>
      <c r="M382" s="43" t="n"/>
      <c r="N382" s="54">
        <f>IF(AND(B382="Expected",D382="Violation",K382&lt;&gt;"",ISNUMBER(L382),ISNUMBER(H382)),L382-H382-I382,"")</f>
        <v/>
      </c>
      <c r="O382" s="43" t="n"/>
      <c r="P382" s="47" t="n"/>
      <c r="Q382" s="55">
        <f>IF(A382="","",IF(B382="Expected",IF(D382="Violation",IF(H382="","Needs start",IF(AND(K382&lt;&gt;"",OR(M382&lt;&gt;"Monitoring",Settings!$B$7="Yes"),ISNUMBER(L382),L382&lt;=J382),"TP","FN")),IF(AND(K382&lt;&gt;"",OR(M382&lt;&gt;"Monitoring",Settings!$B$7="Yes")),"FP","TN")),IF(P382="","Needs tag",IF(OR(P382="False alarm",P382="Unscripted – false alarm"),"FP",IF(P382="Duplicate","Duplicate",IF(P382="Late (real act)","Late","Excluded"))))))</f>
        <v/>
      </c>
      <c r="R382" s="47" t="n"/>
      <c r="S382" s="43" t="n"/>
      <c r="T382" s="43" t="n"/>
      <c r="U382" s="43" t="n"/>
      <c r="V382" s="47" t="n"/>
      <c r="W382" s="47" t="n"/>
      <c r="X382" s="52" t="n"/>
      <c r="Y382" s="43" t="n"/>
      <c r="Z382" s="55">
        <f>IF(OR(Y382="",Q382=""),"",IF(Y382=Q382,"OK","MISMATCH"))</f>
        <v/>
      </c>
      <c r="AA382" s="43" t="n"/>
    </row>
    <row r="383" ht="15" customHeight="1" s="35">
      <c r="A383" s="43" t="n"/>
      <c r="B383" s="47" t="n"/>
      <c r="C383" s="47" t="n"/>
      <c r="D383" s="47" t="n"/>
      <c r="E383" s="43" t="n"/>
      <c r="F383" s="52" t="n"/>
      <c r="G383" s="43" t="n"/>
      <c r="H383" s="51" t="n"/>
      <c r="I383" s="53">
        <f>IF(B383&lt;&gt;"Expected","",IF(C383="Parking Obstruction",IF(G383="Validation",Settings!$B$9,Settings!$B$8),IF(C383="Drinking",IF(G383="Validation",Settings!$B$11,Settings!$B$10),0)))</f>
        <v/>
      </c>
      <c r="J383" s="54">
        <f>IF(OR(B383&lt;&gt;"Expected",D383&lt;&gt;"Violation",H383=""),"",H383+I383+Settings!$B$5)</f>
        <v/>
      </c>
      <c r="K383" s="43" t="n"/>
      <c r="L383" s="51" t="n"/>
      <c r="M383" s="43" t="n"/>
      <c r="N383" s="54">
        <f>IF(AND(B383="Expected",D383="Violation",K383&lt;&gt;"",ISNUMBER(L383),ISNUMBER(H383)),L383-H383-I383,"")</f>
        <v/>
      </c>
      <c r="O383" s="43" t="n"/>
      <c r="P383" s="47" t="n"/>
      <c r="Q383" s="55">
        <f>IF(A383="","",IF(B383="Expected",IF(D383="Violation",IF(H383="","Needs start",IF(AND(K383&lt;&gt;"",OR(M383&lt;&gt;"Monitoring",Settings!$B$7="Yes"),ISNUMBER(L383),L383&lt;=J383),"TP","FN")),IF(AND(K383&lt;&gt;"",OR(M383&lt;&gt;"Monitoring",Settings!$B$7="Yes")),"FP","TN")),IF(P383="","Needs tag",IF(OR(P383="False alarm",P383="Unscripted – false alarm"),"FP",IF(P383="Duplicate","Duplicate",IF(P383="Late (real act)","Late","Excluded"))))))</f>
        <v/>
      </c>
      <c r="R383" s="47" t="n"/>
      <c r="S383" s="43" t="n"/>
      <c r="T383" s="43" t="n"/>
      <c r="U383" s="43" t="n"/>
      <c r="V383" s="47" t="n"/>
      <c r="W383" s="47" t="n"/>
      <c r="X383" s="52" t="n"/>
      <c r="Y383" s="43" t="n"/>
      <c r="Z383" s="55">
        <f>IF(OR(Y383="",Q383=""),"",IF(Y383=Q383,"OK","MISMATCH"))</f>
        <v/>
      </c>
      <c r="AA383" s="43" t="n"/>
    </row>
    <row r="384" ht="15" customHeight="1" s="35">
      <c r="A384" s="43" t="n"/>
      <c r="B384" s="47" t="n"/>
      <c r="C384" s="47" t="n"/>
      <c r="D384" s="47" t="n"/>
      <c r="E384" s="43" t="n"/>
      <c r="F384" s="52" t="n"/>
      <c r="G384" s="43" t="n"/>
      <c r="H384" s="51" t="n"/>
      <c r="I384" s="53">
        <f>IF(B384&lt;&gt;"Expected","",IF(C384="Parking Obstruction",IF(G384="Validation",Settings!$B$9,Settings!$B$8),IF(C384="Drinking",IF(G384="Validation",Settings!$B$11,Settings!$B$10),0)))</f>
        <v/>
      </c>
      <c r="J384" s="54">
        <f>IF(OR(B384&lt;&gt;"Expected",D384&lt;&gt;"Violation",H384=""),"",H384+I384+Settings!$B$5)</f>
        <v/>
      </c>
      <c r="K384" s="43" t="n"/>
      <c r="L384" s="51" t="n"/>
      <c r="M384" s="43" t="n"/>
      <c r="N384" s="54">
        <f>IF(AND(B384="Expected",D384="Violation",K384&lt;&gt;"",ISNUMBER(L384),ISNUMBER(H384)),L384-H384-I384,"")</f>
        <v/>
      </c>
      <c r="O384" s="43" t="n"/>
      <c r="P384" s="47" t="n"/>
      <c r="Q384" s="55">
        <f>IF(A384="","",IF(B384="Expected",IF(D384="Violation",IF(H384="","Needs start",IF(AND(K384&lt;&gt;"",OR(M384&lt;&gt;"Monitoring",Settings!$B$7="Yes"),ISNUMBER(L384),L384&lt;=J384),"TP","FN")),IF(AND(K384&lt;&gt;"",OR(M384&lt;&gt;"Monitoring",Settings!$B$7="Yes")),"FP","TN")),IF(P384="","Needs tag",IF(OR(P384="False alarm",P384="Unscripted – false alarm"),"FP",IF(P384="Duplicate","Duplicate",IF(P384="Late (real act)","Late","Excluded"))))))</f>
        <v/>
      </c>
      <c r="R384" s="47" t="n"/>
      <c r="S384" s="43" t="n"/>
      <c r="T384" s="43" t="n"/>
      <c r="U384" s="43" t="n"/>
      <c r="V384" s="47" t="n"/>
      <c r="W384" s="47" t="n"/>
      <c r="X384" s="52" t="n"/>
      <c r="Y384" s="43" t="n"/>
      <c r="Z384" s="55">
        <f>IF(OR(Y384="",Q384=""),"",IF(Y384=Q384,"OK","MISMATCH"))</f>
        <v/>
      </c>
      <c r="AA384" s="43" t="n"/>
    </row>
    <row r="385" ht="15" customHeight="1" s="35">
      <c r="A385" s="43" t="n"/>
      <c r="B385" s="47" t="n"/>
      <c r="C385" s="47" t="n"/>
      <c r="D385" s="47" t="n"/>
      <c r="E385" s="43" t="n"/>
      <c r="F385" s="52" t="n"/>
      <c r="G385" s="43" t="n"/>
      <c r="H385" s="51" t="n"/>
      <c r="I385" s="53">
        <f>IF(B385&lt;&gt;"Expected","",IF(C385="Parking Obstruction",IF(G385="Validation",Settings!$B$9,Settings!$B$8),IF(C385="Drinking",IF(G385="Validation",Settings!$B$11,Settings!$B$10),0)))</f>
        <v/>
      </c>
      <c r="J385" s="54">
        <f>IF(OR(B385&lt;&gt;"Expected",D385&lt;&gt;"Violation",H385=""),"",H385+I385+Settings!$B$5)</f>
        <v/>
      </c>
      <c r="K385" s="43" t="n"/>
      <c r="L385" s="51" t="n"/>
      <c r="M385" s="43" t="n"/>
      <c r="N385" s="54">
        <f>IF(AND(B385="Expected",D385="Violation",K385&lt;&gt;"",ISNUMBER(L385),ISNUMBER(H385)),L385-H385-I385,"")</f>
        <v/>
      </c>
      <c r="O385" s="43" t="n"/>
      <c r="P385" s="47" t="n"/>
      <c r="Q385" s="55">
        <f>IF(A385="","",IF(B385="Expected",IF(D385="Violation",IF(H385="","Needs start",IF(AND(K385&lt;&gt;"",OR(M385&lt;&gt;"Monitoring",Settings!$B$7="Yes"),ISNUMBER(L385),L385&lt;=J385),"TP","FN")),IF(AND(K385&lt;&gt;"",OR(M385&lt;&gt;"Monitoring",Settings!$B$7="Yes")),"FP","TN")),IF(P385="","Needs tag",IF(OR(P385="False alarm",P385="Unscripted – false alarm"),"FP",IF(P385="Duplicate","Duplicate",IF(P385="Late (real act)","Late","Excluded"))))))</f>
        <v/>
      </c>
      <c r="R385" s="47" t="n"/>
      <c r="S385" s="43" t="n"/>
      <c r="T385" s="43" t="n"/>
      <c r="U385" s="43" t="n"/>
      <c r="V385" s="47" t="n"/>
      <c r="W385" s="47" t="n"/>
      <c r="X385" s="52" t="n"/>
      <c r="Y385" s="43" t="n"/>
      <c r="Z385" s="55">
        <f>IF(OR(Y385="",Q385=""),"",IF(Y385=Q385,"OK","MISMATCH"))</f>
        <v/>
      </c>
      <c r="AA385" s="43" t="n"/>
    </row>
    <row r="386" ht="15" customHeight="1" s="35">
      <c r="A386" s="43" t="n"/>
      <c r="B386" s="47" t="n"/>
      <c r="C386" s="47" t="n"/>
      <c r="D386" s="47" t="n"/>
      <c r="E386" s="43" t="n"/>
      <c r="F386" s="52" t="n"/>
      <c r="G386" s="43" t="n"/>
      <c r="H386" s="51" t="n"/>
      <c r="I386" s="53">
        <f>IF(B386&lt;&gt;"Expected","",IF(C386="Parking Obstruction",IF(G386="Validation",Settings!$B$9,Settings!$B$8),IF(C386="Drinking",IF(G386="Validation",Settings!$B$11,Settings!$B$10),0)))</f>
        <v/>
      </c>
      <c r="J386" s="54">
        <f>IF(OR(B386&lt;&gt;"Expected",D386&lt;&gt;"Violation",H386=""),"",H386+I386+Settings!$B$5)</f>
        <v/>
      </c>
      <c r="K386" s="43" t="n"/>
      <c r="L386" s="51" t="n"/>
      <c r="M386" s="43" t="n"/>
      <c r="N386" s="54">
        <f>IF(AND(B386="Expected",D386="Violation",K386&lt;&gt;"",ISNUMBER(L386),ISNUMBER(H386)),L386-H386-I386,"")</f>
        <v/>
      </c>
      <c r="O386" s="43" t="n"/>
      <c r="P386" s="47" t="n"/>
      <c r="Q386" s="55">
        <f>IF(A386="","",IF(B386="Expected",IF(D386="Violation",IF(H386="","Needs start",IF(AND(K386&lt;&gt;"",OR(M386&lt;&gt;"Monitoring",Settings!$B$7="Yes"),ISNUMBER(L386),L386&lt;=J386),"TP","FN")),IF(AND(K386&lt;&gt;"",OR(M386&lt;&gt;"Monitoring",Settings!$B$7="Yes")),"FP","TN")),IF(P386="","Needs tag",IF(OR(P386="False alarm",P386="Unscripted – false alarm"),"FP",IF(P386="Duplicate","Duplicate",IF(P386="Late (real act)","Late","Excluded"))))))</f>
        <v/>
      </c>
      <c r="R386" s="47" t="n"/>
      <c r="S386" s="43" t="n"/>
      <c r="T386" s="43" t="n"/>
      <c r="U386" s="43" t="n"/>
      <c r="V386" s="47" t="n"/>
      <c r="W386" s="47" t="n"/>
      <c r="X386" s="52" t="n"/>
      <c r="Y386" s="43" t="n"/>
      <c r="Z386" s="55">
        <f>IF(OR(Y386="",Q386=""),"",IF(Y386=Q386,"OK","MISMATCH"))</f>
        <v/>
      </c>
      <c r="AA386" s="43" t="n"/>
    </row>
    <row r="387" ht="15" customHeight="1" s="35">
      <c r="A387" s="43" t="n"/>
      <c r="B387" s="47" t="n"/>
      <c r="C387" s="47" t="n"/>
      <c r="D387" s="47" t="n"/>
      <c r="E387" s="43" t="n"/>
      <c r="F387" s="52" t="n"/>
      <c r="G387" s="43" t="n"/>
      <c r="H387" s="51" t="n"/>
      <c r="I387" s="53">
        <f>IF(B387&lt;&gt;"Expected","",IF(C387="Parking Obstruction",IF(G387="Validation",Settings!$B$9,Settings!$B$8),IF(C387="Drinking",IF(G387="Validation",Settings!$B$11,Settings!$B$10),0)))</f>
        <v/>
      </c>
      <c r="J387" s="54">
        <f>IF(OR(B387&lt;&gt;"Expected",D387&lt;&gt;"Violation",H387=""),"",H387+I387+Settings!$B$5)</f>
        <v/>
      </c>
      <c r="K387" s="43" t="n"/>
      <c r="L387" s="51" t="n"/>
      <c r="M387" s="43" t="n"/>
      <c r="N387" s="54">
        <f>IF(AND(B387="Expected",D387="Violation",K387&lt;&gt;"",ISNUMBER(L387),ISNUMBER(H387)),L387-H387-I387,"")</f>
        <v/>
      </c>
      <c r="O387" s="43" t="n"/>
      <c r="P387" s="47" t="n"/>
      <c r="Q387" s="55">
        <f>IF(A387="","",IF(B387="Expected",IF(D387="Violation",IF(H387="","Needs start",IF(AND(K387&lt;&gt;"",OR(M387&lt;&gt;"Monitoring",Settings!$B$7="Yes"),ISNUMBER(L387),L387&lt;=J387),"TP","FN")),IF(AND(K387&lt;&gt;"",OR(M387&lt;&gt;"Monitoring",Settings!$B$7="Yes")),"FP","TN")),IF(P387="","Needs tag",IF(OR(P387="False alarm",P387="Unscripted – false alarm"),"FP",IF(P387="Duplicate","Duplicate",IF(P387="Late (real act)","Late","Excluded"))))))</f>
        <v/>
      </c>
      <c r="R387" s="47" t="n"/>
      <c r="S387" s="43" t="n"/>
      <c r="T387" s="43" t="n"/>
      <c r="U387" s="43" t="n"/>
      <c r="V387" s="47" t="n"/>
      <c r="W387" s="47" t="n"/>
      <c r="X387" s="52" t="n"/>
      <c r="Y387" s="43" t="n"/>
      <c r="Z387" s="55">
        <f>IF(OR(Y387="",Q387=""),"",IF(Y387=Q387,"OK","MISMATCH"))</f>
        <v/>
      </c>
      <c r="AA387" s="43" t="n"/>
    </row>
    <row r="388" ht="15" customHeight="1" s="35">
      <c r="A388" s="43" t="n"/>
      <c r="B388" s="47" t="n"/>
      <c r="C388" s="47" t="n"/>
      <c r="D388" s="47" t="n"/>
      <c r="E388" s="43" t="n"/>
      <c r="F388" s="52" t="n"/>
      <c r="G388" s="43" t="n"/>
      <c r="H388" s="51" t="n"/>
      <c r="I388" s="53">
        <f>IF(B388&lt;&gt;"Expected","",IF(C388="Parking Obstruction",IF(G388="Validation",Settings!$B$9,Settings!$B$8),IF(C388="Drinking",IF(G388="Validation",Settings!$B$11,Settings!$B$10),0)))</f>
        <v/>
      </c>
      <c r="J388" s="54">
        <f>IF(OR(B388&lt;&gt;"Expected",D388&lt;&gt;"Violation",H388=""),"",H388+I388+Settings!$B$5)</f>
        <v/>
      </c>
      <c r="K388" s="43" t="n"/>
      <c r="L388" s="51" t="n"/>
      <c r="M388" s="43" t="n"/>
      <c r="N388" s="54">
        <f>IF(AND(B388="Expected",D388="Violation",K388&lt;&gt;"",ISNUMBER(L388),ISNUMBER(H388)),L388-H388-I388,"")</f>
        <v/>
      </c>
      <c r="O388" s="43" t="n"/>
      <c r="P388" s="47" t="n"/>
      <c r="Q388" s="55">
        <f>IF(A388="","",IF(B388="Expected",IF(D388="Violation",IF(H388="","Needs start",IF(AND(K388&lt;&gt;"",OR(M388&lt;&gt;"Monitoring",Settings!$B$7="Yes"),ISNUMBER(L388),L388&lt;=J388),"TP","FN")),IF(AND(K388&lt;&gt;"",OR(M388&lt;&gt;"Monitoring",Settings!$B$7="Yes")),"FP","TN")),IF(P388="","Needs tag",IF(OR(P388="False alarm",P388="Unscripted – false alarm"),"FP",IF(P388="Duplicate","Duplicate",IF(P388="Late (real act)","Late","Excluded"))))))</f>
        <v/>
      </c>
      <c r="R388" s="47" t="n"/>
      <c r="S388" s="43" t="n"/>
      <c r="T388" s="43" t="n"/>
      <c r="U388" s="43" t="n"/>
      <c r="V388" s="47" t="n"/>
      <c r="W388" s="47" t="n"/>
      <c r="X388" s="52" t="n"/>
      <c r="Y388" s="43" t="n"/>
      <c r="Z388" s="55">
        <f>IF(OR(Y388="",Q388=""),"",IF(Y388=Q388,"OK","MISMATCH"))</f>
        <v/>
      </c>
      <c r="AA388" s="43" t="n"/>
    </row>
    <row r="389" ht="15" customHeight="1" s="35">
      <c r="A389" s="43" t="n"/>
      <c r="B389" s="47" t="n"/>
      <c r="C389" s="47" t="n"/>
      <c r="D389" s="47" t="n"/>
      <c r="E389" s="43" t="n"/>
      <c r="F389" s="52" t="n"/>
      <c r="G389" s="43" t="n"/>
      <c r="H389" s="51" t="n"/>
      <c r="I389" s="53">
        <f>IF(B389&lt;&gt;"Expected","",IF(C389="Parking Obstruction",IF(G389="Validation",Settings!$B$9,Settings!$B$8),IF(C389="Drinking",IF(G389="Validation",Settings!$B$11,Settings!$B$10),0)))</f>
        <v/>
      </c>
      <c r="J389" s="54">
        <f>IF(OR(B389&lt;&gt;"Expected",D389&lt;&gt;"Violation",H389=""),"",H389+I389+Settings!$B$5)</f>
        <v/>
      </c>
      <c r="K389" s="43" t="n"/>
      <c r="L389" s="51" t="n"/>
      <c r="M389" s="43" t="n"/>
      <c r="N389" s="54">
        <f>IF(AND(B389="Expected",D389="Violation",K389&lt;&gt;"",ISNUMBER(L389),ISNUMBER(H389)),L389-H389-I389,"")</f>
        <v/>
      </c>
      <c r="O389" s="43" t="n"/>
      <c r="P389" s="47" t="n"/>
      <c r="Q389" s="55">
        <f>IF(A389="","",IF(B389="Expected",IF(D389="Violation",IF(H389="","Needs start",IF(AND(K389&lt;&gt;"",OR(M389&lt;&gt;"Monitoring",Settings!$B$7="Yes"),ISNUMBER(L389),L389&lt;=J389),"TP","FN")),IF(AND(K389&lt;&gt;"",OR(M389&lt;&gt;"Monitoring",Settings!$B$7="Yes")),"FP","TN")),IF(P389="","Needs tag",IF(OR(P389="False alarm",P389="Unscripted – false alarm"),"FP",IF(P389="Duplicate","Duplicate",IF(P389="Late (real act)","Late","Excluded"))))))</f>
        <v/>
      </c>
      <c r="R389" s="47" t="n"/>
      <c r="S389" s="43" t="n"/>
      <c r="T389" s="43" t="n"/>
      <c r="U389" s="43" t="n"/>
      <c r="V389" s="47" t="n"/>
      <c r="W389" s="47" t="n"/>
      <c r="X389" s="52" t="n"/>
      <c r="Y389" s="43" t="n"/>
      <c r="Z389" s="55">
        <f>IF(OR(Y389="",Q389=""),"",IF(Y389=Q389,"OK","MISMATCH"))</f>
        <v/>
      </c>
      <c r="AA389" s="43" t="n"/>
    </row>
    <row r="390" ht="15" customHeight="1" s="35">
      <c r="A390" s="43" t="n"/>
      <c r="B390" s="47" t="n"/>
      <c r="C390" s="47" t="n"/>
      <c r="D390" s="47" t="n"/>
      <c r="E390" s="43" t="n"/>
      <c r="F390" s="52" t="n"/>
      <c r="G390" s="43" t="n"/>
      <c r="H390" s="51" t="n"/>
      <c r="I390" s="53">
        <f>IF(B390&lt;&gt;"Expected","",IF(C390="Parking Obstruction",IF(G390="Validation",Settings!$B$9,Settings!$B$8),IF(C390="Drinking",IF(G390="Validation",Settings!$B$11,Settings!$B$10),0)))</f>
        <v/>
      </c>
      <c r="J390" s="54">
        <f>IF(OR(B390&lt;&gt;"Expected",D390&lt;&gt;"Violation",H390=""),"",H390+I390+Settings!$B$5)</f>
        <v/>
      </c>
      <c r="K390" s="43" t="n"/>
      <c r="L390" s="51" t="n"/>
      <c r="M390" s="43" t="n"/>
      <c r="N390" s="54">
        <f>IF(AND(B390="Expected",D390="Violation",K390&lt;&gt;"",ISNUMBER(L390),ISNUMBER(H390)),L390-H390-I390,"")</f>
        <v/>
      </c>
      <c r="O390" s="43" t="n"/>
      <c r="P390" s="47" t="n"/>
      <c r="Q390" s="55">
        <f>IF(A390="","",IF(B390="Expected",IF(D390="Violation",IF(H390="","Needs start",IF(AND(K390&lt;&gt;"",OR(M390&lt;&gt;"Monitoring",Settings!$B$7="Yes"),ISNUMBER(L390),L390&lt;=J390),"TP","FN")),IF(AND(K390&lt;&gt;"",OR(M390&lt;&gt;"Monitoring",Settings!$B$7="Yes")),"FP","TN")),IF(P390="","Needs tag",IF(OR(P390="False alarm",P390="Unscripted – false alarm"),"FP",IF(P390="Duplicate","Duplicate",IF(P390="Late (real act)","Late","Excluded"))))))</f>
        <v/>
      </c>
      <c r="R390" s="47" t="n"/>
      <c r="S390" s="43" t="n"/>
      <c r="T390" s="43" t="n"/>
      <c r="U390" s="43" t="n"/>
      <c r="V390" s="47" t="n"/>
      <c r="W390" s="47" t="n"/>
      <c r="X390" s="52" t="n"/>
      <c r="Y390" s="43" t="n"/>
      <c r="Z390" s="55">
        <f>IF(OR(Y390="",Q390=""),"",IF(Y390=Q390,"OK","MISMATCH"))</f>
        <v/>
      </c>
      <c r="AA390" s="43" t="n"/>
    </row>
    <row r="391" ht="15" customHeight="1" s="35">
      <c r="A391" s="43" t="n"/>
      <c r="B391" s="47" t="n"/>
      <c r="C391" s="47" t="n"/>
      <c r="D391" s="47" t="n"/>
      <c r="E391" s="43" t="n"/>
      <c r="F391" s="52" t="n"/>
      <c r="G391" s="43" t="n"/>
      <c r="H391" s="51" t="n"/>
      <c r="I391" s="53">
        <f>IF(B391&lt;&gt;"Expected","",IF(C391="Parking Obstruction",IF(G391="Validation",Settings!$B$9,Settings!$B$8),IF(C391="Drinking",IF(G391="Validation",Settings!$B$11,Settings!$B$10),0)))</f>
        <v/>
      </c>
      <c r="J391" s="54">
        <f>IF(OR(B391&lt;&gt;"Expected",D391&lt;&gt;"Violation",H391=""),"",H391+I391+Settings!$B$5)</f>
        <v/>
      </c>
      <c r="K391" s="43" t="n"/>
      <c r="L391" s="51" t="n"/>
      <c r="M391" s="43" t="n"/>
      <c r="N391" s="54">
        <f>IF(AND(B391="Expected",D391="Violation",K391&lt;&gt;"",ISNUMBER(L391),ISNUMBER(H391)),L391-H391-I391,"")</f>
        <v/>
      </c>
      <c r="O391" s="43" t="n"/>
      <c r="P391" s="47" t="n"/>
      <c r="Q391" s="55">
        <f>IF(A391="","",IF(B391="Expected",IF(D391="Violation",IF(H391="","Needs start",IF(AND(K391&lt;&gt;"",OR(M391&lt;&gt;"Monitoring",Settings!$B$7="Yes"),ISNUMBER(L391),L391&lt;=J391),"TP","FN")),IF(AND(K391&lt;&gt;"",OR(M391&lt;&gt;"Monitoring",Settings!$B$7="Yes")),"FP","TN")),IF(P391="","Needs tag",IF(OR(P391="False alarm",P391="Unscripted – false alarm"),"FP",IF(P391="Duplicate","Duplicate",IF(P391="Late (real act)","Late","Excluded"))))))</f>
        <v/>
      </c>
      <c r="R391" s="47" t="n"/>
      <c r="S391" s="43" t="n"/>
      <c r="T391" s="43" t="n"/>
      <c r="U391" s="43" t="n"/>
      <c r="V391" s="47" t="n"/>
      <c r="W391" s="47" t="n"/>
      <c r="X391" s="52" t="n"/>
      <c r="Y391" s="43" t="n"/>
      <c r="Z391" s="55">
        <f>IF(OR(Y391="",Q391=""),"",IF(Y391=Q391,"OK","MISMATCH"))</f>
        <v/>
      </c>
      <c r="AA391" s="43" t="n"/>
    </row>
    <row r="392" ht="15" customHeight="1" s="35">
      <c r="A392" s="43" t="n"/>
      <c r="B392" s="47" t="n"/>
      <c r="C392" s="47" t="n"/>
      <c r="D392" s="47" t="n"/>
      <c r="E392" s="43" t="n"/>
      <c r="F392" s="52" t="n"/>
      <c r="G392" s="43" t="n"/>
      <c r="H392" s="51" t="n"/>
      <c r="I392" s="53">
        <f>IF(B392&lt;&gt;"Expected","",IF(C392="Parking Obstruction",IF(G392="Validation",Settings!$B$9,Settings!$B$8),IF(C392="Drinking",IF(G392="Validation",Settings!$B$11,Settings!$B$10),0)))</f>
        <v/>
      </c>
      <c r="J392" s="54">
        <f>IF(OR(B392&lt;&gt;"Expected",D392&lt;&gt;"Violation",H392=""),"",H392+I392+Settings!$B$5)</f>
        <v/>
      </c>
      <c r="K392" s="43" t="n"/>
      <c r="L392" s="51" t="n"/>
      <c r="M392" s="43" t="n"/>
      <c r="N392" s="54">
        <f>IF(AND(B392="Expected",D392="Violation",K392&lt;&gt;"",ISNUMBER(L392),ISNUMBER(H392)),L392-H392-I392,"")</f>
        <v/>
      </c>
      <c r="O392" s="43" t="n"/>
      <c r="P392" s="47" t="n"/>
      <c r="Q392" s="55">
        <f>IF(A392="","",IF(B392="Expected",IF(D392="Violation",IF(H392="","Needs start",IF(AND(K392&lt;&gt;"",OR(M392&lt;&gt;"Monitoring",Settings!$B$7="Yes"),ISNUMBER(L392),L392&lt;=J392),"TP","FN")),IF(AND(K392&lt;&gt;"",OR(M392&lt;&gt;"Monitoring",Settings!$B$7="Yes")),"FP","TN")),IF(P392="","Needs tag",IF(OR(P392="False alarm",P392="Unscripted – false alarm"),"FP",IF(P392="Duplicate","Duplicate",IF(P392="Late (real act)","Late","Excluded"))))))</f>
        <v/>
      </c>
      <c r="R392" s="47" t="n"/>
      <c r="S392" s="43" t="n"/>
      <c r="T392" s="43" t="n"/>
      <c r="U392" s="43" t="n"/>
      <c r="V392" s="47" t="n"/>
      <c r="W392" s="47" t="n"/>
      <c r="X392" s="52" t="n"/>
      <c r="Y392" s="43" t="n"/>
      <c r="Z392" s="55">
        <f>IF(OR(Y392="",Q392=""),"",IF(Y392=Q392,"OK","MISMATCH"))</f>
        <v/>
      </c>
      <c r="AA392" s="43" t="n"/>
    </row>
    <row r="393" ht="15" customHeight="1" s="35">
      <c r="A393" s="43" t="n"/>
      <c r="B393" s="47" t="n"/>
      <c r="C393" s="47" t="n"/>
      <c r="D393" s="47" t="n"/>
      <c r="E393" s="43" t="n"/>
      <c r="F393" s="52" t="n"/>
      <c r="G393" s="43" t="n"/>
      <c r="H393" s="51" t="n"/>
      <c r="I393" s="53">
        <f>IF(B393&lt;&gt;"Expected","",IF(C393="Parking Obstruction",IF(G393="Validation",Settings!$B$9,Settings!$B$8),IF(C393="Drinking",IF(G393="Validation",Settings!$B$11,Settings!$B$10),0)))</f>
        <v/>
      </c>
      <c r="J393" s="54">
        <f>IF(OR(B393&lt;&gt;"Expected",D393&lt;&gt;"Violation",H393=""),"",H393+I393+Settings!$B$5)</f>
        <v/>
      </c>
      <c r="K393" s="43" t="n"/>
      <c r="L393" s="51" t="n"/>
      <c r="M393" s="43" t="n"/>
      <c r="N393" s="54">
        <f>IF(AND(B393="Expected",D393="Violation",K393&lt;&gt;"",ISNUMBER(L393),ISNUMBER(H393)),L393-H393-I393,"")</f>
        <v/>
      </c>
      <c r="O393" s="43" t="n"/>
      <c r="P393" s="47" t="n"/>
      <c r="Q393" s="55">
        <f>IF(A393="","",IF(B393="Expected",IF(D393="Violation",IF(H393="","Needs start",IF(AND(K393&lt;&gt;"",OR(M393&lt;&gt;"Monitoring",Settings!$B$7="Yes"),ISNUMBER(L393),L393&lt;=J393),"TP","FN")),IF(AND(K393&lt;&gt;"",OR(M393&lt;&gt;"Monitoring",Settings!$B$7="Yes")),"FP","TN")),IF(P393="","Needs tag",IF(OR(P393="False alarm",P393="Unscripted – false alarm"),"FP",IF(P393="Duplicate","Duplicate",IF(P393="Late (real act)","Late","Excluded"))))))</f>
        <v/>
      </c>
      <c r="R393" s="47" t="n"/>
      <c r="S393" s="43" t="n"/>
      <c r="T393" s="43" t="n"/>
      <c r="U393" s="43" t="n"/>
      <c r="V393" s="47" t="n"/>
      <c r="W393" s="47" t="n"/>
      <c r="X393" s="52" t="n"/>
      <c r="Y393" s="43" t="n"/>
      <c r="Z393" s="55">
        <f>IF(OR(Y393="",Q393=""),"",IF(Y393=Q393,"OK","MISMATCH"))</f>
        <v/>
      </c>
      <c r="AA393" s="43" t="n"/>
    </row>
    <row r="394" ht="15" customHeight="1" s="35">
      <c r="A394" s="43" t="n"/>
      <c r="B394" s="47" t="n"/>
      <c r="C394" s="47" t="n"/>
      <c r="D394" s="47" t="n"/>
      <c r="E394" s="43" t="n"/>
      <c r="F394" s="52" t="n"/>
      <c r="G394" s="43" t="n"/>
      <c r="H394" s="51" t="n"/>
      <c r="I394" s="53">
        <f>IF(B394&lt;&gt;"Expected","",IF(C394="Parking Obstruction",IF(G394="Validation",Settings!$B$9,Settings!$B$8),IF(C394="Drinking",IF(G394="Validation",Settings!$B$11,Settings!$B$10),0)))</f>
        <v/>
      </c>
      <c r="J394" s="54">
        <f>IF(OR(B394&lt;&gt;"Expected",D394&lt;&gt;"Violation",H394=""),"",H394+I394+Settings!$B$5)</f>
        <v/>
      </c>
      <c r="K394" s="43" t="n"/>
      <c r="L394" s="51" t="n"/>
      <c r="M394" s="43" t="n"/>
      <c r="N394" s="54">
        <f>IF(AND(B394="Expected",D394="Violation",K394&lt;&gt;"",ISNUMBER(L394),ISNUMBER(H394)),L394-H394-I394,"")</f>
        <v/>
      </c>
      <c r="O394" s="43" t="n"/>
      <c r="P394" s="47" t="n"/>
      <c r="Q394" s="55">
        <f>IF(A394="","",IF(B394="Expected",IF(D394="Violation",IF(H394="","Needs start",IF(AND(K394&lt;&gt;"",OR(M394&lt;&gt;"Monitoring",Settings!$B$7="Yes"),ISNUMBER(L394),L394&lt;=J394),"TP","FN")),IF(AND(K394&lt;&gt;"",OR(M394&lt;&gt;"Monitoring",Settings!$B$7="Yes")),"FP","TN")),IF(P394="","Needs tag",IF(OR(P394="False alarm",P394="Unscripted – false alarm"),"FP",IF(P394="Duplicate","Duplicate",IF(P394="Late (real act)","Late","Excluded"))))))</f>
        <v/>
      </c>
      <c r="R394" s="47" t="n"/>
      <c r="S394" s="43" t="n"/>
      <c r="T394" s="43" t="n"/>
      <c r="U394" s="43" t="n"/>
      <c r="V394" s="47" t="n"/>
      <c r="W394" s="47" t="n"/>
      <c r="X394" s="52" t="n"/>
      <c r="Y394" s="43" t="n"/>
      <c r="Z394" s="55">
        <f>IF(OR(Y394="",Q394=""),"",IF(Y394=Q394,"OK","MISMATCH"))</f>
        <v/>
      </c>
      <c r="AA394" s="43" t="n"/>
    </row>
    <row r="395" ht="15" customHeight="1" s="35">
      <c r="A395" s="43" t="n"/>
      <c r="B395" s="47" t="n"/>
      <c r="C395" s="47" t="n"/>
      <c r="D395" s="47" t="n"/>
      <c r="E395" s="43" t="n"/>
      <c r="F395" s="52" t="n"/>
      <c r="G395" s="43" t="n"/>
      <c r="H395" s="51" t="n"/>
      <c r="I395" s="53">
        <f>IF(B395&lt;&gt;"Expected","",IF(C395="Parking Obstruction",IF(G395="Validation",Settings!$B$9,Settings!$B$8),IF(C395="Drinking",IF(G395="Validation",Settings!$B$11,Settings!$B$10),0)))</f>
        <v/>
      </c>
      <c r="J395" s="54">
        <f>IF(OR(B395&lt;&gt;"Expected",D395&lt;&gt;"Violation",H395=""),"",H395+I395+Settings!$B$5)</f>
        <v/>
      </c>
      <c r="K395" s="43" t="n"/>
      <c r="L395" s="51" t="n"/>
      <c r="M395" s="43" t="n"/>
      <c r="N395" s="54">
        <f>IF(AND(B395="Expected",D395="Violation",K395&lt;&gt;"",ISNUMBER(L395),ISNUMBER(H395)),L395-H395-I395,"")</f>
        <v/>
      </c>
      <c r="O395" s="43" t="n"/>
      <c r="P395" s="47" t="n"/>
      <c r="Q395" s="55">
        <f>IF(A395="","",IF(B395="Expected",IF(D395="Violation",IF(H395="","Needs start",IF(AND(K395&lt;&gt;"",OR(M395&lt;&gt;"Monitoring",Settings!$B$7="Yes"),ISNUMBER(L395),L395&lt;=J395),"TP","FN")),IF(AND(K395&lt;&gt;"",OR(M395&lt;&gt;"Monitoring",Settings!$B$7="Yes")),"FP","TN")),IF(P395="","Needs tag",IF(OR(P395="False alarm",P395="Unscripted – false alarm"),"FP",IF(P395="Duplicate","Duplicate",IF(P395="Late (real act)","Late","Excluded"))))))</f>
        <v/>
      </c>
      <c r="R395" s="47" t="n"/>
      <c r="S395" s="43" t="n"/>
      <c r="T395" s="43" t="n"/>
      <c r="U395" s="43" t="n"/>
      <c r="V395" s="47" t="n"/>
      <c r="W395" s="47" t="n"/>
      <c r="X395" s="52" t="n"/>
      <c r="Y395" s="43" t="n"/>
      <c r="Z395" s="55">
        <f>IF(OR(Y395="",Q395=""),"",IF(Y395=Q395,"OK","MISMATCH"))</f>
        <v/>
      </c>
      <c r="AA395" s="43" t="n"/>
    </row>
    <row r="396" ht="15" customHeight="1" s="35">
      <c r="A396" s="43" t="n"/>
      <c r="B396" s="47" t="n"/>
      <c r="C396" s="47" t="n"/>
      <c r="D396" s="47" t="n"/>
      <c r="E396" s="43" t="n"/>
      <c r="F396" s="52" t="n"/>
      <c r="G396" s="43" t="n"/>
      <c r="H396" s="51" t="n"/>
      <c r="I396" s="53">
        <f>IF(B396&lt;&gt;"Expected","",IF(C396="Parking Obstruction",IF(G396="Validation",Settings!$B$9,Settings!$B$8),IF(C396="Drinking",IF(G396="Validation",Settings!$B$11,Settings!$B$10),0)))</f>
        <v/>
      </c>
      <c r="J396" s="54">
        <f>IF(OR(B396&lt;&gt;"Expected",D396&lt;&gt;"Violation",H396=""),"",H396+I396+Settings!$B$5)</f>
        <v/>
      </c>
      <c r="K396" s="43" t="n"/>
      <c r="L396" s="51" t="n"/>
      <c r="M396" s="43" t="n"/>
      <c r="N396" s="54">
        <f>IF(AND(B396="Expected",D396="Violation",K396&lt;&gt;"",ISNUMBER(L396),ISNUMBER(H396)),L396-H396-I396,"")</f>
        <v/>
      </c>
      <c r="O396" s="43" t="n"/>
      <c r="P396" s="47" t="n"/>
      <c r="Q396" s="55">
        <f>IF(A396="","",IF(B396="Expected",IF(D396="Violation",IF(H396="","Needs start",IF(AND(K396&lt;&gt;"",OR(M396&lt;&gt;"Monitoring",Settings!$B$7="Yes"),ISNUMBER(L396),L396&lt;=J396),"TP","FN")),IF(AND(K396&lt;&gt;"",OR(M396&lt;&gt;"Monitoring",Settings!$B$7="Yes")),"FP","TN")),IF(P396="","Needs tag",IF(OR(P396="False alarm",P396="Unscripted – false alarm"),"FP",IF(P396="Duplicate","Duplicate",IF(P396="Late (real act)","Late","Excluded"))))))</f>
        <v/>
      </c>
      <c r="R396" s="47" t="n"/>
      <c r="S396" s="43" t="n"/>
      <c r="T396" s="43" t="n"/>
      <c r="U396" s="43" t="n"/>
      <c r="V396" s="47" t="n"/>
      <c r="W396" s="47" t="n"/>
      <c r="X396" s="52" t="n"/>
      <c r="Y396" s="43" t="n"/>
      <c r="Z396" s="55">
        <f>IF(OR(Y396="",Q396=""),"",IF(Y396=Q396,"OK","MISMATCH"))</f>
        <v/>
      </c>
      <c r="AA396" s="43" t="n"/>
    </row>
    <row r="397" ht="15" customHeight="1" s="35">
      <c r="A397" s="43" t="n"/>
      <c r="B397" s="47" t="n"/>
      <c r="C397" s="47" t="n"/>
      <c r="D397" s="47" t="n"/>
      <c r="E397" s="43" t="n"/>
      <c r="F397" s="52" t="n"/>
      <c r="G397" s="43" t="n"/>
      <c r="H397" s="51" t="n"/>
      <c r="I397" s="53">
        <f>IF(B397&lt;&gt;"Expected","",IF(C397="Parking Obstruction",IF(G397="Validation",Settings!$B$9,Settings!$B$8),IF(C397="Drinking",IF(G397="Validation",Settings!$B$11,Settings!$B$10),0)))</f>
        <v/>
      </c>
      <c r="J397" s="54">
        <f>IF(OR(B397&lt;&gt;"Expected",D397&lt;&gt;"Violation",H397=""),"",H397+I397+Settings!$B$5)</f>
        <v/>
      </c>
      <c r="K397" s="43" t="n"/>
      <c r="L397" s="51" t="n"/>
      <c r="M397" s="43" t="n"/>
      <c r="N397" s="54">
        <f>IF(AND(B397="Expected",D397="Violation",K397&lt;&gt;"",ISNUMBER(L397),ISNUMBER(H397)),L397-H397-I397,"")</f>
        <v/>
      </c>
      <c r="O397" s="43" t="n"/>
      <c r="P397" s="47" t="n"/>
      <c r="Q397" s="55">
        <f>IF(A397="","",IF(B397="Expected",IF(D397="Violation",IF(H397="","Needs start",IF(AND(K397&lt;&gt;"",OR(M397&lt;&gt;"Monitoring",Settings!$B$7="Yes"),ISNUMBER(L397),L397&lt;=J397),"TP","FN")),IF(AND(K397&lt;&gt;"",OR(M397&lt;&gt;"Monitoring",Settings!$B$7="Yes")),"FP","TN")),IF(P397="","Needs tag",IF(OR(P397="False alarm",P397="Unscripted – false alarm"),"FP",IF(P397="Duplicate","Duplicate",IF(P397="Late (real act)","Late","Excluded"))))))</f>
        <v/>
      </c>
      <c r="R397" s="47" t="n"/>
      <c r="S397" s="43" t="n"/>
      <c r="T397" s="43" t="n"/>
      <c r="U397" s="43" t="n"/>
      <c r="V397" s="47" t="n"/>
      <c r="W397" s="47" t="n"/>
      <c r="X397" s="52" t="n"/>
      <c r="Y397" s="43" t="n"/>
      <c r="Z397" s="55">
        <f>IF(OR(Y397="",Q397=""),"",IF(Y397=Q397,"OK","MISMATCH"))</f>
        <v/>
      </c>
      <c r="AA397" s="43" t="n"/>
    </row>
    <row r="398" ht="15" customHeight="1" s="35">
      <c r="A398" s="43" t="n"/>
      <c r="B398" s="47" t="n"/>
      <c r="C398" s="47" t="n"/>
      <c r="D398" s="47" t="n"/>
      <c r="E398" s="43" t="n"/>
      <c r="F398" s="52" t="n"/>
      <c r="G398" s="43" t="n"/>
      <c r="H398" s="51" t="n"/>
      <c r="I398" s="53">
        <f>IF(B398&lt;&gt;"Expected","",IF(C398="Parking Obstruction",IF(G398="Validation",Settings!$B$9,Settings!$B$8),IF(C398="Drinking",IF(G398="Validation",Settings!$B$11,Settings!$B$10),0)))</f>
        <v/>
      </c>
      <c r="J398" s="54">
        <f>IF(OR(B398&lt;&gt;"Expected",D398&lt;&gt;"Violation",H398=""),"",H398+I398+Settings!$B$5)</f>
        <v/>
      </c>
      <c r="K398" s="43" t="n"/>
      <c r="L398" s="51" t="n"/>
      <c r="M398" s="43" t="n"/>
      <c r="N398" s="54">
        <f>IF(AND(B398="Expected",D398="Violation",K398&lt;&gt;"",ISNUMBER(L398),ISNUMBER(H398)),L398-H398-I398,"")</f>
        <v/>
      </c>
      <c r="O398" s="43" t="n"/>
      <c r="P398" s="47" t="n"/>
      <c r="Q398" s="55">
        <f>IF(A398="","",IF(B398="Expected",IF(D398="Violation",IF(H398="","Needs start",IF(AND(K398&lt;&gt;"",OR(M398&lt;&gt;"Monitoring",Settings!$B$7="Yes"),ISNUMBER(L398),L398&lt;=J398),"TP","FN")),IF(AND(K398&lt;&gt;"",OR(M398&lt;&gt;"Monitoring",Settings!$B$7="Yes")),"FP","TN")),IF(P398="","Needs tag",IF(OR(P398="False alarm",P398="Unscripted – false alarm"),"FP",IF(P398="Duplicate","Duplicate",IF(P398="Late (real act)","Late","Excluded"))))))</f>
        <v/>
      </c>
      <c r="R398" s="47" t="n"/>
      <c r="S398" s="43" t="n"/>
      <c r="T398" s="43" t="n"/>
      <c r="U398" s="43" t="n"/>
      <c r="V398" s="47" t="n"/>
      <c r="W398" s="47" t="n"/>
      <c r="X398" s="52" t="n"/>
      <c r="Y398" s="43" t="n"/>
      <c r="Z398" s="55">
        <f>IF(OR(Y398="",Q398=""),"",IF(Y398=Q398,"OK","MISMATCH"))</f>
        <v/>
      </c>
      <c r="AA398" s="43" t="n"/>
    </row>
    <row r="399" ht="15" customHeight="1" s="35">
      <c r="A399" s="43" t="n"/>
      <c r="B399" s="47" t="n"/>
      <c r="C399" s="47" t="n"/>
      <c r="D399" s="47" t="n"/>
      <c r="E399" s="43" t="n"/>
      <c r="F399" s="52" t="n"/>
      <c r="G399" s="43" t="n"/>
      <c r="H399" s="51" t="n"/>
      <c r="I399" s="53">
        <f>IF(B399&lt;&gt;"Expected","",IF(C399="Parking Obstruction",IF(G399="Validation",Settings!$B$9,Settings!$B$8),IF(C399="Drinking",IF(G399="Validation",Settings!$B$11,Settings!$B$10),0)))</f>
        <v/>
      </c>
      <c r="J399" s="54">
        <f>IF(OR(B399&lt;&gt;"Expected",D399&lt;&gt;"Violation",H399=""),"",H399+I399+Settings!$B$5)</f>
        <v/>
      </c>
      <c r="K399" s="43" t="n"/>
      <c r="L399" s="51" t="n"/>
      <c r="M399" s="43" t="n"/>
      <c r="N399" s="54">
        <f>IF(AND(B399="Expected",D399="Violation",K399&lt;&gt;"",ISNUMBER(L399),ISNUMBER(H399)),L399-H399-I399,"")</f>
        <v/>
      </c>
      <c r="O399" s="43" t="n"/>
      <c r="P399" s="47" t="n"/>
      <c r="Q399" s="55">
        <f>IF(A399="","",IF(B399="Expected",IF(D399="Violation",IF(H399="","Needs start",IF(AND(K399&lt;&gt;"",OR(M399&lt;&gt;"Monitoring",Settings!$B$7="Yes"),ISNUMBER(L399),L399&lt;=J399),"TP","FN")),IF(AND(K399&lt;&gt;"",OR(M399&lt;&gt;"Monitoring",Settings!$B$7="Yes")),"FP","TN")),IF(P399="","Needs tag",IF(OR(P399="False alarm",P399="Unscripted – false alarm"),"FP",IF(P399="Duplicate","Duplicate",IF(P399="Late (real act)","Late","Excluded"))))))</f>
        <v/>
      </c>
      <c r="R399" s="47" t="n"/>
      <c r="S399" s="43" t="n"/>
      <c r="T399" s="43" t="n"/>
      <c r="U399" s="43" t="n"/>
      <c r="V399" s="47" t="n"/>
      <c r="W399" s="47" t="n"/>
      <c r="X399" s="52" t="n"/>
      <c r="Y399" s="43" t="n"/>
      <c r="Z399" s="55">
        <f>IF(OR(Y399="",Q399=""),"",IF(Y399=Q399,"OK","MISMATCH"))</f>
        <v/>
      </c>
      <c r="AA399" s="43" t="n"/>
    </row>
    <row r="400" ht="15" customHeight="1" s="35">
      <c r="A400" s="43" t="n"/>
      <c r="B400" s="47" t="n"/>
      <c r="C400" s="47" t="n"/>
      <c r="D400" s="47" t="n"/>
      <c r="E400" s="43" t="n"/>
      <c r="F400" s="52" t="n"/>
      <c r="G400" s="43" t="n"/>
      <c r="H400" s="51" t="n"/>
      <c r="I400" s="53">
        <f>IF(B400&lt;&gt;"Expected","",IF(C400="Parking Obstruction",IF(G400="Validation",Settings!$B$9,Settings!$B$8),IF(C400="Drinking",IF(G400="Validation",Settings!$B$11,Settings!$B$10),0)))</f>
        <v/>
      </c>
      <c r="J400" s="54">
        <f>IF(OR(B400&lt;&gt;"Expected",D400&lt;&gt;"Violation",H400=""),"",H400+I400+Settings!$B$5)</f>
        <v/>
      </c>
      <c r="K400" s="43" t="n"/>
      <c r="L400" s="51" t="n"/>
      <c r="M400" s="43" t="n"/>
      <c r="N400" s="54">
        <f>IF(AND(B400="Expected",D400="Violation",K400&lt;&gt;"",ISNUMBER(L400),ISNUMBER(H400)),L400-H400-I400,"")</f>
        <v/>
      </c>
      <c r="O400" s="43" t="n"/>
      <c r="P400" s="47" t="n"/>
      <c r="Q400" s="55">
        <f>IF(A400="","",IF(B400="Expected",IF(D400="Violation",IF(H400="","Needs start",IF(AND(K400&lt;&gt;"",OR(M400&lt;&gt;"Monitoring",Settings!$B$7="Yes"),ISNUMBER(L400),L400&lt;=J400),"TP","FN")),IF(AND(K400&lt;&gt;"",OR(M400&lt;&gt;"Monitoring",Settings!$B$7="Yes")),"FP","TN")),IF(P400="","Needs tag",IF(OR(P400="False alarm",P400="Unscripted – false alarm"),"FP",IF(P400="Duplicate","Duplicate",IF(P400="Late (real act)","Late","Excluded"))))))</f>
        <v/>
      </c>
      <c r="R400" s="47" t="n"/>
      <c r="S400" s="43" t="n"/>
      <c r="T400" s="43" t="n"/>
      <c r="U400" s="43" t="n"/>
      <c r="V400" s="47" t="n"/>
      <c r="W400" s="47" t="n"/>
      <c r="X400" s="52" t="n"/>
      <c r="Y400" s="43" t="n"/>
      <c r="Z400" s="55">
        <f>IF(OR(Y400="",Q400=""),"",IF(Y400=Q400,"OK","MISMATCH"))</f>
        <v/>
      </c>
      <c r="AA400" s="43" t="n"/>
    </row>
    <row r="401" ht="15" customHeight="1" s="35">
      <c r="A401" s="43" t="n"/>
      <c r="B401" s="47" t="n"/>
      <c r="C401" s="47" t="n"/>
      <c r="D401" s="47" t="n"/>
      <c r="E401" s="43" t="n"/>
      <c r="F401" s="52" t="n"/>
      <c r="G401" s="43" t="n"/>
      <c r="H401" s="51" t="n"/>
      <c r="I401" s="53">
        <f>IF(B401&lt;&gt;"Expected","",IF(C401="Parking Obstruction",IF(G401="Validation",Settings!$B$9,Settings!$B$8),IF(C401="Drinking",IF(G401="Validation",Settings!$B$11,Settings!$B$10),0)))</f>
        <v/>
      </c>
      <c r="J401" s="54">
        <f>IF(OR(B401&lt;&gt;"Expected",D401&lt;&gt;"Violation",H401=""),"",H401+I401+Settings!$B$5)</f>
        <v/>
      </c>
      <c r="K401" s="43" t="n"/>
      <c r="L401" s="51" t="n"/>
      <c r="M401" s="43" t="n"/>
      <c r="N401" s="54">
        <f>IF(AND(B401="Expected",D401="Violation",K401&lt;&gt;"",ISNUMBER(L401),ISNUMBER(H401)),L401-H401-I401,"")</f>
        <v/>
      </c>
      <c r="O401" s="43" t="n"/>
      <c r="P401" s="47" t="n"/>
      <c r="Q401" s="55">
        <f>IF(A401="","",IF(B401="Expected",IF(D401="Violation",IF(H401="","Needs start",IF(AND(K401&lt;&gt;"",OR(M401&lt;&gt;"Monitoring",Settings!$B$7="Yes"),ISNUMBER(L401),L401&lt;=J401),"TP","FN")),IF(AND(K401&lt;&gt;"",OR(M401&lt;&gt;"Monitoring",Settings!$B$7="Yes")),"FP","TN")),IF(P401="","Needs tag",IF(OR(P401="False alarm",P401="Unscripted – false alarm"),"FP",IF(P401="Duplicate","Duplicate",IF(P401="Late (real act)","Late","Excluded"))))))</f>
        <v/>
      </c>
      <c r="R401" s="47" t="n"/>
      <c r="S401" s="43" t="n"/>
      <c r="T401" s="43" t="n"/>
      <c r="U401" s="43" t="n"/>
      <c r="V401" s="47" t="n"/>
      <c r="W401" s="47" t="n"/>
      <c r="X401" s="52" t="n"/>
      <c r="Y401" s="43" t="n"/>
      <c r="Z401" s="55">
        <f>IF(OR(Y401="",Q401=""),"",IF(Y401=Q401,"OK","MISMATCH"))</f>
        <v/>
      </c>
      <c r="AA401" s="43" t="n"/>
    </row>
    <row r="402" ht="15" customHeight="1" s="35">
      <c r="A402" s="43" t="n"/>
      <c r="B402" s="47" t="n"/>
      <c r="C402" s="47" t="n"/>
      <c r="D402" s="47" t="n"/>
      <c r="E402" s="43" t="n"/>
      <c r="F402" s="52" t="n"/>
      <c r="G402" s="43" t="n"/>
      <c r="H402" s="51" t="n"/>
      <c r="I402" s="53">
        <f>IF(B402&lt;&gt;"Expected","",IF(C402="Parking Obstruction",IF(G402="Validation",Settings!$B$9,Settings!$B$8),IF(C402="Drinking",IF(G402="Validation",Settings!$B$11,Settings!$B$10),0)))</f>
        <v/>
      </c>
      <c r="J402" s="54">
        <f>IF(OR(B402&lt;&gt;"Expected",D402&lt;&gt;"Violation",H402=""),"",H402+I402+Settings!$B$5)</f>
        <v/>
      </c>
      <c r="K402" s="43" t="n"/>
      <c r="L402" s="51" t="n"/>
      <c r="M402" s="43" t="n"/>
      <c r="N402" s="54">
        <f>IF(AND(B402="Expected",D402="Violation",K402&lt;&gt;"",ISNUMBER(L402),ISNUMBER(H402)),L402-H402-I402,"")</f>
        <v/>
      </c>
      <c r="O402" s="43" t="n"/>
      <c r="P402" s="47" t="n"/>
      <c r="Q402" s="55">
        <f>IF(A402="","",IF(B402="Expected",IF(D402="Violation",IF(H402="","Needs start",IF(AND(K402&lt;&gt;"",OR(M402&lt;&gt;"Monitoring",Settings!$B$7="Yes"),ISNUMBER(L402),L402&lt;=J402),"TP","FN")),IF(AND(K402&lt;&gt;"",OR(M402&lt;&gt;"Monitoring",Settings!$B$7="Yes")),"FP","TN")),IF(P402="","Needs tag",IF(OR(P402="False alarm",P402="Unscripted – false alarm"),"FP",IF(P402="Duplicate","Duplicate",IF(P402="Late (real act)","Late","Excluded"))))))</f>
        <v/>
      </c>
      <c r="R402" s="47" t="n"/>
      <c r="S402" s="43" t="n"/>
      <c r="T402" s="43" t="n"/>
      <c r="U402" s="43" t="n"/>
      <c r="V402" s="47" t="n"/>
      <c r="W402" s="47" t="n"/>
      <c r="X402" s="52" t="n"/>
      <c r="Y402" s="43" t="n"/>
      <c r="Z402" s="55">
        <f>IF(OR(Y402="",Q402=""),"",IF(Y402=Q402,"OK","MISMATCH"))</f>
        <v/>
      </c>
      <c r="AA402" s="43" t="n"/>
    </row>
    <row r="403" ht="15" customHeight="1" s="35">
      <c r="A403" s="43" t="n"/>
      <c r="B403" s="47" t="n"/>
      <c r="C403" s="47" t="n"/>
      <c r="D403" s="47" t="n"/>
      <c r="E403" s="43" t="n"/>
      <c r="F403" s="52" t="n"/>
      <c r="G403" s="43" t="n"/>
      <c r="H403" s="51" t="n"/>
      <c r="I403" s="53">
        <f>IF(B403&lt;&gt;"Expected","",IF(C403="Parking Obstruction",IF(G403="Validation",Settings!$B$9,Settings!$B$8),IF(C403="Drinking",IF(G403="Validation",Settings!$B$11,Settings!$B$10),0)))</f>
        <v/>
      </c>
      <c r="J403" s="54">
        <f>IF(OR(B403&lt;&gt;"Expected",D403&lt;&gt;"Violation",H403=""),"",H403+I403+Settings!$B$5)</f>
        <v/>
      </c>
      <c r="K403" s="43" t="n"/>
      <c r="L403" s="51" t="n"/>
      <c r="M403" s="43" t="n"/>
      <c r="N403" s="54">
        <f>IF(AND(B403="Expected",D403="Violation",K403&lt;&gt;"",ISNUMBER(L403),ISNUMBER(H403)),L403-H403-I403,"")</f>
        <v/>
      </c>
      <c r="O403" s="43" t="n"/>
      <c r="P403" s="47" t="n"/>
      <c r="Q403" s="55">
        <f>IF(A403="","",IF(B403="Expected",IF(D403="Violation",IF(H403="","Needs start",IF(AND(K403&lt;&gt;"",OR(M403&lt;&gt;"Monitoring",Settings!$B$7="Yes"),ISNUMBER(L403),L403&lt;=J403),"TP","FN")),IF(AND(K403&lt;&gt;"",OR(M403&lt;&gt;"Monitoring",Settings!$B$7="Yes")),"FP","TN")),IF(P403="","Needs tag",IF(OR(P403="False alarm",P403="Unscripted – false alarm"),"FP",IF(P403="Duplicate","Duplicate",IF(P403="Late (real act)","Late","Excluded"))))))</f>
        <v/>
      </c>
      <c r="R403" s="47" t="n"/>
      <c r="S403" s="43" t="n"/>
      <c r="T403" s="43" t="n"/>
      <c r="U403" s="43" t="n"/>
      <c r="V403" s="47" t="n"/>
      <c r="W403" s="47" t="n"/>
      <c r="X403" s="52" t="n"/>
      <c r="Y403" s="43" t="n"/>
      <c r="Z403" s="55">
        <f>IF(OR(Y403="",Q403=""),"",IF(Y403=Q403,"OK","MISMATCH"))</f>
        <v/>
      </c>
      <c r="AA403" s="43" t="n"/>
    </row>
    <row r="404" ht="15" customHeight="1" s="35">
      <c r="A404" s="43" t="n"/>
      <c r="B404" s="47" t="n"/>
      <c r="C404" s="47" t="n"/>
      <c r="D404" s="47" t="n"/>
      <c r="E404" s="43" t="n"/>
      <c r="F404" s="52" t="n"/>
      <c r="G404" s="43" t="n"/>
      <c r="H404" s="51" t="n"/>
      <c r="I404" s="53">
        <f>IF(B404&lt;&gt;"Expected","",IF(C404="Parking Obstruction",IF(G404="Validation",Settings!$B$9,Settings!$B$8),IF(C404="Drinking",IF(G404="Validation",Settings!$B$11,Settings!$B$10),0)))</f>
        <v/>
      </c>
      <c r="J404" s="54">
        <f>IF(OR(B404&lt;&gt;"Expected",D404&lt;&gt;"Violation",H404=""),"",H404+I404+Settings!$B$5)</f>
        <v/>
      </c>
      <c r="K404" s="43" t="n"/>
      <c r="L404" s="51" t="n"/>
      <c r="M404" s="43" t="n"/>
      <c r="N404" s="54">
        <f>IF(AND(B404="Expected",D404="Violation",K404&lt;&gt;"",ISNUMBER(L404),ISNUMBER(H404)),L404-H404-I404,"")</f>
        <v/>
      </c>
      <c r="O404" s="43" t="n"/>
      <c r="P404" s="47" t="n"/>
      <c r="Q404" s="55">
        <f>IF(A404="","",IF(B404="Expected",IF(D404="Violation",IF(H404="","Needs start",IF(AND(K404&lt;&gt;"",OR(M404&lt;&gt;"Monitoring",Settings!$B$7="Yes"),ISNUMBER(L404),L404&lt;=J404),"TP","FN")),IF(AND(K404&lt;&gt;"",OR(M404&lt;&gt;"Monitoring",Settings!$B$7="Yes")),"FP","TN")),IF(P404="","Needs tag",IF(OR(P404="False alarm",P404="Unscripted – false alarm"),"FP",IF(P404="Duplicate","Duplicate",IF(P404="Late (real act)","Late","Excluded"))))))</f>
        <v/>
      </c>
      <c r="R404" s="47" t="n"/>
      <c r="S404" s="43" t="n"/>
      <c r="T404" s="43" t="n"/>
      <c r="U404" s="43" t="n"/>
      <c r="V404" s="47" t="n"/>
      <c r="W404" s="47" t="n"/>
      <c r="X404" s="52" t="n"/>
      <c r="Y404" s="43" t="n"/>
      <c r="Z404" s="55">
        <f>IF(OR(Y404="",Q404=""),"",IF(Y404=Q404,"OK","MISMATCH"))</f>
        <v/>
      </c>
      <c r="AA404" s="43" t="n"/>
    </row>
  </sheetData>
  <autoFilter ref="A4:AA404"/>
  <conditionalFormatting sqref="Q5:Q404">
    <cfRule type="cellIs" rank="0" priority="2" equalAverage="0" operator="equal" aboveAverage="0" dxfId="8" text="" percent="0" bottom="0">
      <formula>"TP"</formula>
    </cfRule>
    <cfRule type="cellIs" rank="0" priority="3" equalAverage="0" operator="equal" aboveAverage="0" dxfId="5" text="" percent="0" bottom="0">
      <formula>"TN"</formula>
    </cfRule>
    <cfRule type="cellIs" rank="0" priority="4" equalAverage="0" operator="equal" aboveAverage="0" dxfId="9" text="" percent="0" bottom="0">
      <formula>"FP"</formula>
    </cfRule>
    <cfRule type="cellIs" rank="0" priority="5" equalAverage="0" operator="equal" aboveAverage="0" dxfId="10" text="" percent="0" bottom="0">
      <formula>"FN"</formula>
    </cfRule>
    <cfRule type="cellIs" rank="0" priority="6" equalAverage="0" operator="equal" aboveAverage="0" dxfId="11" text="" percent="0" bottom="0">
      <formula>"Needs tag"</formula>
    </cfRule>
    <cfRule type="cellIs" rank="0" priority="7" equalAverage="0" operator="equal" aboveAverage="0" dxfId="11" text="" percent="0" bottom="0">
      <formula>"Needs start"</formula>
    </cfRule>
    <cfRule type="cellIs" rank="0" priority="8" equalAverage="0" operator="equal" aboveAverage="0" dxfId="12" text="" percent="0" bottom="0">
      <formula>"Duplicate"</formula>
    </cfRule>
    <cfRule type="cellIs" rank="0" priority="9" equalAverage="0" operator="equal" aboveAverage="0" dxfId="13" text="" percent="0" bottom="0">
      <formula>"Excluded"</formula>
    </cfRule>
    <cfRule type="cellIs" rank="0" priority="10" equalAverage="0" operator="equal" aboveAverage="0" dxfId="14" text="" percent="0" bottom="0">
      <formula>"Late"</formula>
    </cfRule>
  </conditionalFormatting>
  <conditionalFormatting sqref="Z5:Z404">
    <cfRule type="cellIs" rank="0" priority="11" equalAverage="0" operator="equal" aboveAverage="0" dxfId="15" text="" percent="0" bottom="0">
      <formula>"MISMATCH"</formula>
    </cfRule>
  </conditionalFormatting>
  <conditionalFormatting sqref="B5:B404">
    <cfRule type="cellIs" rank="0" priority="12" equalAverage="0" operator="equal" aboveAverage="0" dxfId="16" text="" percent="0" bottom="0">
      <formula>"Unmatched alert"</formula>
    </cfRule>
  </conditionalFormatting>
  <dataValidations count="13">
    <dataValidation sqref="B5:B404" showDropDown="0" showInputMessage="0" showErrorMessage="0" allowBlank="1" type="list" errorStyle="stop" operator="between">
      <formula1>Lists!$M$1:$M$2</formula1>
      <formula2>0</formula2>
    </dataValidation>
    <dataValidation sqref="C5:C404" showDropDown="0" showInputMessage="0" showErrorMessage="0" allowBlank="1" type="list" errorStyle="stop" operator="between">
      <formula1>Lists!$A$1:$A$4</formula1>
      <formula2>0</formula2>
    </dataValidation>
    <dataValidation sqref="D5:D404" showDropDown="0" showInputMessage="0" showErrorMessage="0" allowBlank="1" type="list" errorStyle="stop" operator="between">
      <formula1>Lists!$C$1:$C$3</formula1>
      <formula2>0</formula2>
    </dataValidation>
    <dataValidation sqref="G5:G404" showDropDown="0" showInputMessage="0" showErrorMessage="0" allowBlank="1" type="list" errorStyle="stop" operator="between">
      <formula1>Lists!$O$1:$O$2</formula1>
      <formula2>0</formula2>
    </dataValidation>
    <dataValidation sqref="M5:M404" showDropDown="0" showInputMessage="0" showErrorMessage="0" allowBlank="1" type="list" errorStyle="stop" operator="between">
      <formula1>Lists!$H$1:$H$3</formula1>
      <formula2>0</formula2>
    </dataValidation>
    <dataValidation sqref="O5:O404" showDropDown="0" showInputMessage="0" showErrorMessage="0" allowBlank="1" type="list" errorStyle="stop" operator="between">
      <formula1>Lists!$I$1:$I$3</formula1>
      <formula2>0</formula2>
    </dataValidation>
    <dataValidation sqref="P5:P404" showDropDown="0" showInputMessage="0" showErrorMessage="0" allowBlank="1" type="list" errorStyle="stop" operator="between">
      <formula1>Lists!$N$1:$N$5</formula1>
      <formula2>0</formula2>
    </dataValidation>
    <dataValidation sqref="R5:R404" showDropDown="0" showInputMessage="0" showErrorMessage="0" allowBlank="1" type="list" errorStyle="stop" operator="between">
      <formula1>Lists!$B$1:$B$5</formula1>
      <formula2>0</formula2>
    </dataValidation>
    <dataValidation sqref="S5:S404" showDropDown="0" showInputMessage="0" showErrorMessage="0" allowBlank="1" type="list" errorStyle="stop" operator="between">
      <formula1>Lists!$D$1:$D$3</formula1>
      <formula2>0</formula2>
    </dataValidation>
    <dataValidation sqref="T5:T404" showDropDown="0" showInputMessage="0" showErrorMessage="0" allowBlank="1" type="list" errorStyle="stop" operator="between">
      <formula1>Lists!$E$1:$E$3</formula1>
      <formula2>0</formula2>
    </dataValidation>
    <dataValidation sqref="U5:U404" showDropDown="0" showInputMessage="0" showErrorMessage="0" allowBlank="1" type="list" errorStyle="stop" operator="between">
      <formula1>Lists!$K$1:$K$2</formula1>
      <formula2>0</formula2>
    </dataValidation>
    <dataValidation sqref="V5:V404" showDropDown="0" showInputMessage="0" showErrorMessage="0" allowBlank="1" type="list" errorStyle="stop" operator="between">
      <formula1>Lists!$J$1:$J$9</formula1>
      <formula2>0</formula2>
    </dataValidation>
    <dataValidation sqref="Y5:Y404" showDropDown="0" showInputMessage="0" showErrorMessage="0" allowBlank="1" type="list" errorStyle="stop" operator="between">
      <formula1>Lists!$L$1:$L$9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4" min="1" max="1"/>
    <col width="12" customWidth="1" style="34" min="2" max="2"/>
    <col width="7" customWidth="1" style="34" min="3" max="5"/>
    <col width="15" customWidth="1" style="34" min="6" max="6"/>
    <col width="14" customWidth="1" style="34" min="7" max="7"/>
    <col width="12" customWidth="1" style="34" min="8" max="8"/>
    <col width="9" customWidth="1" style="34" min="9" max="9"/>
    <col width="10" customWidth="1" style="34" min="10" max="12"/>
    <col width="9" customWidth="1" style="34" min="13" max="13"/>
    <col width="10" customWidth="1" style="34" min="14" max="16"/>
    <col width="13" customWidth="1" style="34" min="17" max="17"/>
    <col width="9" customWidth="1" style="34" min="18" max="18"/>
  </cols>
  <sheetData>
    <row r="1" ht="19.7" customHeight="1" s="35">
      <c r="A1" s="36" t="inlineStr">
        <is>
          <t>Summary — System Accuracy (Main set)</t>
        </is>
      </c>
    </row>
    <row r="2" ht="15" customHeight="1" s="35">
      <c r="A2" s="37" t="inlineStr">
        <is>
          <t>Auto-calculated from Results Log, Main set only. '–' = no data yet. Validation set is reported in its own sheet.</t>
        </is>
      </c>
    </row>
    <row r="4" ht="36" customHeight="1" s="35">
      <c r="A4" s="45" t="inlineStr">
        <is>
          <t>Violation</t>
        </is>
      </c>
      <c r="B4" s="45" t="inlineStr">
        <is>
          <t>Real acts scored</t>
        </is>
      </c>
      <c r="C4" s="45" t="inlineStr">
        <is>
          <t>TP</t>
        </is>
      </c>
      <c r="D4" s="45" t="inlineStr">
        <is>
          <t>FN</t>
        </is>
      </c>
      <c r="E4" s="45" t="inlineStr">
        <is>
          <t>TN</t>
        </is>
      </c>
      <c r="F4" s="45" t="inlineStr">
        <is>
          <t>FP (look-alike / no violation)</t>
        </is>
      </c>
      <c r="G4" s="45" t="inlineStr">
        <is>
          <t>FP (false alarm on actors)</t>
        </is>
      </c>
      <c r="H4" s="45" t="inlineStr">
        <is>
          <t>FP (unscripted)</t>
        </is>
      </c>
      <c r="I4" s="45" t="inlineStr">
        <is>
          <t>FP total</t>
        </is>
      </c>
      <c r="J4" s="45" t="inlineStr">
        <is>
          <t>Accuracy</t>
        </is>
      </c>
      <c r="K4" s="45" t="inlineStr">
        <is>
          <t>Precision</t>
        </is>
      </c>
      <c r="L4" s="45" t="inlineStr">
        <is>
          <t>Recall</t>
        </is>
      </c>
      <c r="M4" s="45" t="inlineStr">
        <is>
          <t>F1</t>
        </is>
      </c>
      <c r="N4" s="45" t="inlineStr">
        <is>
          <t>Avg delay (s)</t>
        </is>
      </c>
      <c r="O4" s="45" t="inlineStr">
        <is>
          <t>Duplicates</t>
        </is>
      </c>
      <c r="P4" s="45" t="inlineStr">
        <is>
          <t>Late detections</t>
        </is>
      </c>
      <c r="Q4" s="45" t="inlineStr">
        <is>
          <t>Unscripted real (excluded)</t>
        </is>
      </c>
      <c r="R4" s="45" t="inlineStr">
        <is>
          <t>Needs tag</t>
        </is>
      </c>
    </row>
    <row r="5" ht="15" customHeight="1" s="35">
      <c r="A5" s="56" t="inlineStr">
        <is>
          <t>Smoking</t>
        </is>
      </c>
      <c r="B5" s="49">
        <f>C5+D5</f>
        <v/>
      </c>
      <c r="C5" s="49">
        <f>COUNTIFS('Results Log'!$G$5:$G$404,"Main",'Results Log'!$B$5:$B$404,"Expected",'Results Log'!$C$5:$C$404,"Smoking",'Results Log'!$Q$5:$Q$404,"TP")</f>
        <v/>
      </c>
      <c r="D5" s="49">
        <f>COUNTIFS('Results Log'!$G$5:$G$404,"Main",'Results Log'!$B$5:$B$404,"Expected",'Results Log'!$C$5:$C$404,"Smoking",'Results Log'!$Q$5:$Q$404,"FN")</f>
        <v/>
      </c>
      <c r="E5" s="49">
        <f>COUNTIFS('Results Log'!$G$5:$G$404,"Main",'Results Log'!$B$5:$B$404,"Expected",'Results Log'!$C$5:$C$404,"Smoking",'Results Log'!$Q$5:$Q$404,"TN")</f>
        <v/>
      </c>
      <c r="F5" s="49">
        <f>COUNTIFS('Results Log'!$G$5:$G$404,"Main",'Results Log'!$B$5:$B$404,"Expected",'Results Log'!$C$5:$C$404,"Smoking",'Results Log'!$Q$5:$Q$404,"FP")</f>
        <v/>
      </c>
      <c r="G5" s="49">
        <f>COUNTIFS('Results Log'!$G$5:$G$404,"Main",'Results Log'!$B$5:$B$404,"Unmatched alert",'Results Log'!$C$5:$C$404,"Smoking",'Results Log'!$P$5:$P$404,"False alarm")</f>
        <v/>
      </c>
      <c r="H5" s="49">
        <f>COUNTIFS('Results Log'!$G$5:$G$404,"Main",'Results Log'!$B$5:$B$404,"Unmatched alert",'Results Log'!$C$5:$C$404,"Smoking",'Results Log'!$P$5:$P$404,"Unscripted – false alarm")</f>
        <v/>
      </c>
      <c r="I5" s="55">
        <f>F5+G5+H5</f>
        <v/>
      </c>
      <c r="J5" s="57">
        <f>IFERROR((C5+E5)/(C5+D5+E5+I5),"–")</f>
        <v/>
      </c>
      <c r="K5" s="57">
        <f>IFERROR(C5/(C5+I5),"–")</f>
        <v/>
      </c>
      <c r="L5" s="57">
        <f>IFERROR(C5/(C5+D5),"–")</f>
        <v/>
      </c>
      <c r="M5" s="57">
        <f>IFERROR(2*K5*L5/(K5+L5),"–")</f>
        <v/>
      </c>
      <c r="N5" s="54">
        <f>IFERROR(AVERAGEIFS('Results Log'!$N$5:$N$404,'Results Log'!$G$5:$G$404,"Main",'Results Log'!$Q$5:$Q$404,"TP",'Results Log'!$C$5:$C$404,"Smoking"),"–")</f>
        <v/>
      </c>
      <c r="O5" s="49">
        <f>COUNTIFS('Results Log'!$G$5:$G$404,"Main",'Results Log'!$B$5:$B$404,"Unmatched alert",'Results Log'!$C$5:$C$404,"Smoking",'Results Log'!$P$5:$P$404,"Duplicate")</f>
        <v/>
      </c>
      <c r="P5" s="49">
        <f>COUNTIFS('Results Log'!$G$5:$G$404,"Main",'Results Log'!$B$5:$B$404,"Unmatched alert",'Results Log'!$C$5:$C$404,"Smoking",'Results Log'!$P$5:$P$404,"Late (real act)")</f>
        <v/>
      </c>
      <c r="Q5" s="49">
        <f>COUNTIFS('Results Log'!$G$5:$G$404,"Main",'Results Log'!$B$5:$B$404,"Unmatched alert",'Results Log'!$C$5:$C$404,"Smoking",'Results Log'!$P$5:$P$404,"Unscripted – real violation")</f>
        <v/>
      </c>
      <c r="R5" s="49">
        <f>COUNTIFS('Results Log'!$G$5:$G$404,"Main",'Results Log'!$C$5:$C$404,"Smoking",'Results Log'!$Q$5:$Q$404,"Needs tag")+COUNTIFS('Results Log'!$G$5:$G$404,"Main",'Results Log'!$C$5:$C$404,"Smoking",'Results Log'!$Q$5:$Q$404,"Needs start")</f>
        <v/>
      </c>
    </row>
    <row r="6" ht="15" customHeight="1" s="35">
      <c r="A6" s="56" t="inlineStr">
        <is>
          <t>Drinking</t>
        </is>
      </c>
      <c r="B6" s="49">
        <f>C6+D6</f>
        <v/>
      </c>
      <c r="C6" s="49">
        <f>COUNTIFS('Results Log'!$G$5:$G$404,"Main",'Results Log'!$B$5:$B$404,"Expected",'Results Log'!$C$5:$C$404,"Drinking",'Results Log'!$Q$5:$Q$404,"TP")</f>
        <v/>
      </c>
      <c r="D6" s="49">
        <f>COUNTIFS('Results Log'!$G$5:$G$404,"Main",'Results Log'!$B$5:$B$404,"Expected",'Results Log'!$C$5:$C$404,"Drinking",'Results Log'!$Q$5:$Q$404,"FN")</f>
        <v/>
      </c>
      <c r="E6" s="49">
        <f>COUNTIFS('Results Log'!$G$5:$G$404,"Main",'Results Log'!$B$5:$B$404,"Expected",'Results Log'!$C$5:$C$404,"Drinking",'Results Log'!$Q$5:$Q$404,"TN")</f>
        <v/>
      </c>
      <c r="F6" s="49">
        <f>COUNTIFS('Results Log'!$G$5:$G$404,"Main",'Results Log'!$B$5:$B$404,"Expected",'Results Log'!$C$5:$C$404,"Drinking",'Results Log'!$Q$5:$Q$404,"FP")</f>
        <v/>
      </c>
      <c r="G6" s="49">
        <f>COUNTIFS('Results Log'!$G$5:$G$404,"Main",'Results Log'!$B$5:$B$404,"Unmatched alert",'Results Log'!$C$5:$C$404,"Drinking",'Results Log'!$P$5:$P$404,"False alarm")</f>
        <v/>
      </c>
      <c r="H6" s="49">
        <f>COUNTIFS('Results Log'!$G$5:$G$404,"Main",'Results Log'!$B$5:$B$404,"Unmatched alert",'Results Log'!$C$5:$C$404,"Drinking",'Results Log'!$P$5:$P$404,"Unscripted – false alarm")</f>
        <v/>
      </c>
      <c r="I6" s="55">
        <f>F6+G6+H6</f>
        <v/>
      </c>
      <c r="J6" s="57">
        <f>IFERROR((C6+E6)/(C6+D6+E6+I6),"–")</f>
        <v/>
      </c>
      <c r="K6" s="57">
        <f>IFERROR(C6/(C6+I6),"–")</f>
        <v/>
      </c>
      <c r="L6" s="57">
        <f>IFERROR(C6/(C6+D6),"–")</f>
        <v/>
      </c>
      <c r="M6" s="57">
        <f>IFERROR(2*K6*L6/(K6+L6),"–")</f>
        <v/>
      </c>
      <c r="N6" s="54">
        <f>IFERROR(AVERAGEIFS('Results Log'!$N$5:$N$404,'Results Log'!$G$5:$G$404,"Main",'Results Log'!$Q$5:$Q$404,"TP",'Results Log'!$C$5:$C$404,"Drinking"),"–")</f>
        <v/>
      </c>
      <c r="O6" s="49">
        <f>COUNTIFS('Results Log'!$G$5:$G$404,"Main",'Results Log'!$B$5:$B$404,"Unmatched alert",'Results Log'!$C$5:$C$404,"Drinking",'Results Log'!$P$5:$P$404,"Duplicate")</f>
        <v/>
      </c>
      <c r="P6" s="49">
        <f>COUNTIFS('Results Log'!$G$5:$G$404,"Main",'Results Log'!$B$5:$B$404,"Unmatched alert",'Results Log'!$C$5:$C$404,"Drinking",'Results Log'!$P$5:$P$404,"Late (real act)")</f>
        <v/>
      </c>
      <c r="Q6" s="49">
        <f>COUNTIFS('Results Log'!$G$5:$G$404,"Main",'Results Log'!$B$5:$B$404,"Unmatched alert",'Results Log'!$C$5:$C$404,"Drinking",'Results Log'!$P$5:$P$404,"Unscripted – real violation")</f>
        <v/>
      </c>
      <c r="R6" s="49">
        <f>COUNTIFS('Results Log'!$G$5:$G$404,"Main",'Results Log'!$C$5:$C$404,"Drinking",'Results Log'!$Q$5:$Q$404,"Needs tag")+COUNTIFS('Results Log'!$G$5:$G$404,"Main",'Results Log'!$C$5:$C$404,"Drinking",'Results Log'!$Q$5:$Q$404,"Needs start")</f>
        <v/>
      </c>
    </row>
    <row r="7" ht="15" customHeight="1" s="35">
      <c r="A7" s="56" t="inlineStr">
        <is>
          <t>Parking Obstruction</t>
        </is>
      </c>
      <c r="B7" s="49">
        <f>C7+D7</f>
        <v/>
      </c>
      <c r="C7" s="49">
        <f>COUNTIFS('Results Log'!$G$5:$G$404,"Main",'Results Log'!$B$5:$B$404,"Expected",'Results Log'!$C$5:$C$404,"Parking Obstruction",'Results Log'!$Q$5:$Q$404,"TP")</f>
        <v/>
      </c>
      <c r="D7" s="49">
        <f>COUNTIFS('Results Log'!$G$5:$G$404,"Main",'Results Log'!$B$5:$B$404,"Expected",'Results Log'!$C$5:$C$404,"Parking Obstruction",'Results Log'!$Q$5:$Q$404,"FN")</f>
        <v/>
      </c>
      <c r="E7" s="49">
        <f>COUNTIFS('Results Log'!$G$5:$G$404,"Main",'Results Log'!$B$5:$B$404,"Expected",'Results Log'!$C$5:$C$404,"Parking Obstruction",'Results Log'!$Q$5:$Q$404,"TN")</f>
        <v/>
      </c>
      <c r="F7" s="49">
        <f>COUNTIFS('Results Log'!$G$5:$G$404,"Main",'Results Log'!$B$5:$B$404,"Expected",'Results Log'!$C$5:$C$404,"Parking Obstruction",'Results Log'!$Q$5:$Q$404,"FP")</f>
        <v/>
      </c>
      <c r="G7" s="49">
        <f>COUNTIFS('Results Log'!$G$5:$G$404,"Main",'Results Log'!$B$5:$B$404,"Unmatched alert",'Results Log'!$C$5:$C$404,"Parking Obstruction",'Results Log'!$P$5:$P$404,"False alarm")</f>
        <v/>
      </c>
      <c r="H7" s="49">
        <f>COUNTIFS('Results Log'!$G$5:$G$404,"Main",'Results Log'!$B$5:$B$404,"Unmatched alert",'Results Log'!$C$5:$C$404,"Parking Obstruction",'Results Log'!$P$5:$P$404,"Unscripted – false alarm")</f>
        <v/>
      </c>
      <c r="I7" s="55">
        <f>F7+G7+H7</f>
        <v/>
      </c>
      <c r="J7" s="57">
        <f>IFERROR((C7+E7)/(C7+D7+E7+I7),"–")</f>
        <v/>
      </c>
      <c r="K7" s="57">
        <f>IFERROR(C7/(C7+I7),"–")</f>
        <v/>
      </c>
      <c r="L7" s="57">
        <f>IFERROR(C7/(C7+D7),"–")</f>
        <v/>
      </c>
      <c r="M7" s="57">
        <f>IFERROR(2*K7*L7/(K7+L7),"–")</f>
        <v/>
      </c>
      <c r="N7" s="54">
        <f>IFERROR(AVERAGEIFS('Results Log'!$N$5:$N$404,'Results Log'!$G$5:$G$404,"Main",'Results Log'!$Q$5:$Q$404,"TP",'Results Log'!$C$5:$C$404,"Parking Obstruction"),"–")</f>
        <v/>
      </c>
      <c r="O7" s="49">
        <f>COUNTIFS('Results Log'!$G$5:$G$404,"Main",'Results Log'!$B$5:$B$404,"Unmatched alert",'Results Log'!$C$5:$C$404,"Parking Obstruction",'Results Log'!$P$5:$P$404,"Duplicate")</f>
        <v/>
      </c>
      <c r="P7" s="49">
        <f>COUNTIFS('Results Log'!$G$5:$G$404,"Main",'Results Log'!$B$5:$B$404,"Unmatched alert",'Results Log'!$C$5:$C$404,"Parking Obstruction",'Results Log'!$P$5:$P$404,"Late (real act)")</f>
        <v/>
      </c>
      <c r="Q7" s="49">
        <f>COUNTIFS('Results Log'!$G$5:$G$404,"Main",'Results Log'!$B$5:$B$404,"Unmatched alert",'Results Log'!$C$5:$C$404,"Parking Obstruction",'Results Log'!$P$5:$P$404,"Unscripted – real violation")</f>
        <v/>
      </c>
      <c r="R7" s="49">
        <f>COUNTIFS('Results Log'!$G$5:$G$404,"Main",'Results Log'!$C$5:$C$404,"Parking Obstruction",'Results Log'!$Q$5:$Q$404,"Needs tag")+COUNTIFS('Results Log'!$G$5:$G$404,"Main",'Results Log'!$C$5:$C$404,"Parking Obstruction",'Results Log'!$Q$5:$Q$404,"Needs start")</f>
        <v/>
      </c>
    </row>
    <row r="8" ht="15" customHeight="1" s="35">
      <c r="A8" s="56" t="inlineStr">
        <is>
          <t>Holdup</t>
        </is>
      </c>
      <c r="B8" s="49">
        <f>C8+D8</f>
        <v/>
      </c>
      <c r="C8" s="49">
        <f>COUNTIFS('Results Log'!$G$5:$G$404,"Main",'Results Log'!$B$5:$B$404,"Expected",'Results Log'!$C$5:$C$404,"Holdup",'Results Log'!$Q$5:$Q$404,"TP")</f>
        <v/>
      </c>
      <c r="D8" s="49">
        <f>COUNTIFS('Results Log'!$G$5:$G$404,"Main",'Results Log'!$B$5:$B$404,"Expected",'Results Log'!$C$5:$C$404,"Holdup",'Results Log'!$Q$5:$Q$404,"FN")</f>
        <v/>
      </c>
      <c r="E8" s="49">
        <f>COUNTIFS('Results Log'!$G$5:$G$404,"Main",'Results Log'!$B$5:$B$404,"Expected",'Results Log'!$C$5:$C$404,"Holdup",'Results Log'!$Q$5:$Q$404,"TN")</f>
        <v/>
      </c>
      <c r="F8" s="49">
        <f>COUNTIFS('Results Log'!$G$5:$G$404,"Main",'Results Log'!$B$5:$B$404,"Expected",'Results Log'!$C$5:$C$404,"Holdup",'Results Log'!$Q$5:$Q$404,"FP")</f>
        <v/>
      </c>
      <c r="G8" s="49">
        <f>COUNTIFS('Results Log'!$G$5:$G$404,"Main",'Results Log'!$B$5:$B$404,"Unmatched alert",'Results Log'!$C$5:$C$404,"Holdup",'Results Log'!$P$5:$P$404,"False alarm")</f>
        <v/>
      </c>
      <c r="H8" s="49">
        <f>COUNTIFS('Results Log'!$G$5:$G$404,"Main",'Results Log'!$B$5:$B$404,"Unmatched alert",'Results Log'!$C$5:$C$404,"Holdup",'Results Log'!$P$5:$P$404,"Unscripted – false alarm")</f>
        <v/>
      </c>
      <c r="I8" s="55">
        <f>F8+G8+H8</f>
        <v/>
      </c>
      <c r="J8" s="57">
        <f>IFERROR((C8+E8)/(C8+D8+E8+I8),"–")</f>
        <v/>
      </c>
      <c r="K8" s="57">
        <f>IFERROR(C8/(C8+I8),"–")</f>
        <v/>
      </c>
      <c r="L8" s="57">
        <f>IFERROR(C8/(C8+D8),"–")</f>
        <v/>
      </c>
      <c r="M8" s="57">
        <f>IFERROR(2*K8*L8/(K8+L8),"–")</f>
        <v/>
      </c>
      <c r="N8" s="54">
        <f>IFERROR(AVERAGEIFS('Results Log'!$N$5:$N$404,'Results Log'!$G$5:$G$404,"Main",'Results Log'!$Q$5:$Q$404,"TP",'Results Log'!$C$5:$C$404,"Holdup"),"–")</f>
        <v/>
      </c>
      <c r="O8" s="49">
        <f>COUNTIFS('Results Log'!$G$5:$G$404,"Main",'Results Log'!$B$5:$B$404,"Unmatched alert",'Results Log'!$C$5:$C$404,"Holdup",'Results Log'!$P$5:$P$404,"Duplicate")</f>
        <v/>
      </c>
      <c r="P8" s="49">
        <f>COUNTIFS('Results Log'!$G$5:$G$404,"Main",'Results Log'!$B$5:$B$404,"Unmatched alert",'Results Log'!$C$5:$C$404,"Holdup",'Results Log'!$P$5:$P$404,"Late (real act)")</f>
        <v/>
      </c>
      <c r="Q8" s="49">
        <f>COUNTIFS('Results Log'!$G$5:$G$404,"Main",'Results Log'!$B$5:$B$404,"Unmatched alert",'Results Log'!$C$5:$C$404,"Holdup",'Results Log'!$P$5:$P$404,"Unscripted – real violation")</f>
        <v/>
      </c>
      <c r="R8" s="49">
        <f>COUNTIFS('Results Log'!$G$5:$G$404,"Main",'Results Log'!$C$5:$C$404,"Holdup",'Results Log'!$Q$5:$Q$404,"Needs tag")+COUNTIFS('Results Log'!$G$5:$G$404,"Main",'Results Log'!$C$5:$C$404,"Holdup",'Results Log'!$Q$5:$Q$404,"Needs start")</f>
        <v/>
      </c>
    </row>
    <row r="9" ht="15" customHeight="1" s="35">
      <c r="A9" s="41" t="inlineStr">
        <is>
          <t>OVERALL</t>
        </is>
      </c>
      <c r="B9" s="58">
        <f>C9+D9</f>
        <v/>
      </c>
      <c r="C9" s="58">
        <f>COUNTIFS('Results Log'!$G$5:$G$404,"Main",'Results Log'!$B$5:$B$404,"Expected",'Results Log'!$Q$5:$Q$404,"TP")</f>
        <v/>
      </c>
      <c r="D9" s="58">
        <f>COUNTIFS('Results Log'!$G$5:$G$404,"Main",'Results Log'!$B$5:$B$404,"Expected",'Results Log'!$Q$5:$Q$404,"FN")</f>
        <v/>
      </c>
      <c r="E9" s="58">
        <f>COUNTIFS('Results Log'!$G$5:$G$404,"Main",'Results Log'!$B$5:$B$404,"Expected",'Results Log'!$Q$5:$Q$404,"TN")</f>
        <v/>
      </c>
      <c r="F9" s="58">
        <f>COUNTIFS('Results Log'!$G$5:$G$404,"Main",'Results Log'!$B$5:$B$404,"Expected",'Results Log'!$Q$5:$Q$404,"FP")</f>
        <v/>
      </c>
      <c r="G9" s="58">
        <f>COUNTIFS('Results Log'!$G$5:$G$404,"Main",'Results Log'!$B$5:$B$404,"Unmatched alert",'Results Log'!$P$5:$P$404,"False alarm")</f>
        <v/>
      </c>
      <c r="H9" s="58">
        <f>COUNTIFS('Results Log'!$G$5:$G$404,"Main",'Results Log'!$B$5:$B$404,"Unmatched alert",'Results Log'!$P$5:$P$404,"Unscripted – false alarm")</f>
        <v/>
      </c>
      <c r="I9" s="59">
        <f>F9+G9+H9</f>
        <v/>
      </c>
      <c r="J9" s="60">
        <f>IFERROR((C9+E9)/(C9+D9+E9+I9),"–")</f>
        <v/>
      </c>
      <c r="K9" s="60">
        <f>IFERROR(C9/(C9+I9),"–")</f>
        <v/>
      </c>
      <c r="L9" s="60">
        <f>IFERROR(C9/(C9+D9),"–")</f>
        <v/>
      </c>
      <c r="M9" s="60">
        <f>IFERROR(2*K9*L9/(K9+L9),"–")</f>
        <v/>
      </c>
      <c r="N9" s="61">
        <f>IFERROR(AVERAGEIFS('Results Log'!$N$5:$N$404,'Results Log'!$G$5:$G$404,"Main",'Results Log'!$Q$5:$Q$404,"TP"),"–")</f>
        <v/>
      </c>
      <c r="O9" s="58">
        <f>COUNTIFS('Results Log'!$G$5:$G$404,"Main",'Results Log'!$B$5:$B$404,"Unmatched alert",'Results Log'!$P$5:$P$404,"Duplicate")</f>
        <v/>
      </c>
      <c r="P9" s="58">
        <f>COUNTIFS('Results Log'!$G$5:$G$404,"Main",'Results Log'!$B$5:$B$404,"Unmatched alert",'Results Log'!$P$5:$P$404,"Late (real act)")</f>
        <v/>
      </c>
      <c r="Q9" s="58">
        <f>COUNTIFS('Results Log'!$G$5:$G$404,"Main",'Results Log'!$B$5:$B$404,"Unmatched alert",'Results Log'!$P$5:$P$404,"Unscripted – real violation")</f>
        <v/>
      </c>
      <c r="R9" s="58">
        <f>COUNTIFS('Results Log'!$G$5:$G$404,"Main",'Results Log'!$Q$5:$Q$404,"Needs tag")+COUNTIFS('Results Log'!$G$5:$G$404,"Main",'Results Log'!$Q$5:$Q$404,"Needs start")</f>
        <v/>
      </c>
    </row>
    <row r="11" ht="15" customHeight="1" s="35">
      <c r="A11" s="56" t="inlineStr">
        <is>
          <t>Clips planned</t>
        </is>
      </c>
      <c r="B11" s="55">
        <f>COUNTA(Clips!$A$5:$A$154)</f>
        <v/>
      </c>
    </row>
    <row r="12" ht="15" customHeight="1" s="35">
      <c r="A12" s="56" t="inlineStr">
        <is>
          <t>Clips done</t>
        </is>
      </c>
      <c r="B12" s="55">
        <f>COUNTIF(Clips!$L$5:$L$154,"Done")</f>
        <v/>
      </c>
    </row>
    <row r="13" ht="15" customHeight="1" s="35">
      <c r="A13" s="56" t="inlineStr">
        <is>
          <t>Clips reviewed</t>
        </is>
      </c>
      <c r="B13" s="55">
        <f>COUNTIF(Clips!$M$5:$M$154,"Yes")</f>
        <v/>
      </c>
    </row>
    <row r="14" ht="15" customHeight="1" s="35">
      <c r="A14" s="56" t="inlineStr">
        <is>
          <t>Progress (reviewed / planned)</t>
        </is>
      </c>
      <c r="B14" s="62">
        <f>IFERROR(B13/B11,0)</f>
        <v/>
      </c>
    </row>
    <row r="15" ht="15" customHeight="1" s="35">
      <c r="A15" s="56" t="inlineStr">
        <is>
          <t>Tool vs sheet mismatches</t>
        </is>
      </c>
      <c r="B15" s="55">
        <f>COUNTIF('Results Log'!$Z$5:$Z$404,"MISMATCH")</f>
        <v/>
      </c>
    </row>
    <row r="16" ht="15" customHeight="1" s="35">
      <c r="A16" s="56" t="inlineStr">
        <is>
          <t>Rows added/edited after run</t>
        </is>
      </c>
      <c r="B16" s="55">
        <f>COUNTIF('Results Log'!$U$5:$U$404,"Yes")</f>
        <v/>
      </c>
    </row>
    <row r="17" ht="15" customHeight="1" s="35">
      <c r="A17" s="56" t="inlineStr">
        <is>
          <t>Settings consistency</t>
        </is>
      </c>
      <c r="B17" s="55">
        <f>Settings!$B$22&amp;""</f>
        <v/>
      </c>
    </row>
    <row r="19" ht="15" customHeight="1" s="35">
      <c r="A19" s="63" t="inlineStr">
        <is>
          <t>Miss / FP reasons (Main set)</t>
        </is>
      </c>
    </row>
    <row r="20" ht="46.25" customHeight="1" s="35">
      <c r="A20" s="64" t="inlineStr">
        <is>
          <t>Reason</t>
        </is>
      </c>
      <c r="B20" s="64" t="inlineStr">
        <is>
          <t>Smoking</t>
        </is>
      </c>
      <c r="C20" s="64" t="inlineStr">
        <is>
          <t>Drinking</t>
        </is>
      </c>
      <c r="D20" s="64" t="inlineStr">
        <is>
          <t>Parking Obstruction</t>
        </is>
      </c>
      <c r="E20" s="64" t="inlineStr">
        <is>
          <t>Holdup</t>
        </is>
      </c>
      <c r="F20" s="64" t="inlineStr">
        <is>
          <t>Total</t>
        </is>
      </c>
    </row>
    <row r="21" ht="15" customHeight="1" s="35">
      <c r="A21" s="42" t="inlineStr">
        <is>
          <t>Distance / too small</t>
        </is>
      </c>
      <c r="B21" s="49">
        <f>COUNTIFS('Results Log'!$V$5:$V$404,$A21,'Results Log'!$C$5:$C$404,"Smoking",'Results Log'!$G$5:$G$404,"Main")</f>
        <v/>
      </c>
      <c r="C21" s="49">
        <f>COUNTIFS('Results Log'!$V$5:$V$404,$A21,'Results Log'!$C$5:$C$404,"Drinking",'Results Log'!$G$5:$G$404,"Main")</f>
        <v/>
      </c>
      <c r="D21" s="49">
        <f>COUNTIFS('Results Log'!$V$5:$V$404,$A21,'Results Log'!$C$5:$C$404,"Parking Obstruction",'Results Log'!$G$5:$G$404,"Main")</f>
        <v/>
      </c>
      <c r="E21" s="49">
        <f>COUNTIFS('Results Log'!$V$5:$V$404,$A21,'Results Log'!$C$5:$C$404,"Holdup",'Results Log'!$G$5:$G$404,"Main")</f>
        <v/>
      </c>
      <c r="F21" s="55">
        <f>SUM(B21:E21)</f>
        <v/>
      </c>
    </row>
    <row r="22" ht="15" customHeight="1" s="35">
      <c r="A22" s="42" t="inlineStr">
        <is>
          <t>Occlusion</t>
        </is>
      </c>
      <c r="B22" s="49">
        <f>COUNTIFS('Results Log'!$V$5:$V$404,$A22,'Results Log'!$C$5:$C$404,"Smoking",'Results Log'!$G$5:$G$404,"Main")</f>
        <v/>
      </c>
      <c r="C22" s="49">
        <f>COUNTIFS('Results Log'!$V$5:$V$404,$A22,'Results Log'!$C$5:$C$404,"Drinking",'Results Log'!$G$5:$G$404,"Main")</f>
        <v/>
      </c>
      <c r="D22" s="49">
        <f>COUNTIFS('Results Log'!$V$5:$V$404,$A22,'Results Log'!$C$5:$C$404,"Parking Obstruction",'Results Log'!$G$5:$G$404,"Main")</f>
        <v/>
      </c>
      <c r="E22" s="49">
        <f>COUNTIFS('Results Log'!$V$5:$V$404,$A22,'Results Log'!$C$5:$C$404,"Holdup",'Results Log'!$G$5:$G$404,"Main")</f>
        <v/>
      </c>
      <c r="F22" s="55">
        <f>SUM(B22:E22)</f>
        <v/>
      </c>
    </row>
    <row r="23" ht="15" customHeight="1" s="35">
      <c r="A23" s="42" t="inlineStr">
        <is>
          <t>Lighting / glare</t>
        </is>
      </c>
      <c r="B23" s="49">
        <f>COUNTIFS('Results Log'!$V$5:$V$404,$A23,'Results Log'!$C$5:$C$404,"Smoking",'Results Log'!$G$5:$G$404,"Main")</f>
        <v/>
      </c>
      <c r="C23" s="49">
        <f>COUNTIFS('Results Log'!$V$5:$V$404,$A23,'Results Log'!$C$5:$C$404,"Drinking",'Results Log'!$G$5:$G$404,"Main")</f>
        <v/>
      </c>
      <c r="D23" s="49">
        <f>COUNTIFS('Results Log'!$V$5:$V$404,$A23,'Results Log'!$C$5:$C$404,"Parking Obstruction",'Results Log'!$G$5:$G$404,"Main")</f>
        <v/>
      </c>
      <c r="E23" s="49">
        <f>COUNTIFS('Results Log'!$V$5:$V$404,$A23,'Results Log'!$C$5:$C$404,"Holdup",'Results Log'!$G$5:$G$404,"Main")</f>
        <v/>
      </c>
      <c r="F23" s="55">
        <f>SUM(B23:E23)</f>
        <v/>
      </c>
    </row>
    <row r="24" ht="15" customHeight="1" s="35">
      <c r="A24" s="42" t="inlineStr">
        <is>
          <t>Track ID switch</t>
        </is>
      </c>
      <c r="B24" s="49">
        <f>COUNTIFS('Results Log'!$V$5:$V$404,$A24,'Results Log'!$C$5:$C$404,"Smoking",'Results Log'!$G$5:$G$404,"Main")</f>
        <v/>
      </c>
      <c r="C24" s="49">
        <f>COUNTIFS('Results Log'!$V$5:$V$404,$A24,'Results Log'!$C$5:$C$404,"Drinking",'Results Log'!$G$5:$G$404,"Main")</f>
        <v/>
      </c>
      <c r="D24" s="49">
        <f>COUNTIFS('Results Log'!$V$5:$V$404,$A24,'Results Log'!$C$5:$C$404,"Parking Obstruction",'Results Log'!$G$5:$G$404,"Main")</f>
        <v/>
      </c>
      <c r="E24" s="49">
        <f>COUNTIFS('Results Log'!$V$5:$V$404,$A24,'Results Log'!$C$5:$C$404,"Holdup",'Results Log'!$G$5:$G$404,"Main")</f>
        <v/>
      </c>
      <c r="F24" s="55">
        <f>SUM(B24:E24)</f>
        <v/>
      </c>
    </row>
    <row r="25" ht="15" customHeight="1" s="35">
      <c r="A25" s="42" t="inlineStr">
        <is>
          <t>Alert too late</t>
        </is>
      </c>
      <c r="B25" s="49">
        <f>COUNTIFS('Results Log'!$V$5:$V$404,$A25,'Results Log'!$C$5:$C$404,"Smoking",'Results Log'!$G$5:$G$404,"Main")</f>
        <v/>
      </c>
      <c r="C25" s="49">
        <f>COUNTIFS('Results Log'!$V$5:$V$404,$A25,'Results Log'!$C$5:$C$404,"Drinking",'Results Log'!$G$5:$G$404,"Main")</f>
        <v/>
      </c>
      <c r="D25" s="49">
        <f>COUNTIFS('Results Log'!$V$5:$V$404,$A25,'Results Log'!$C$5:$C$404,"Parking Obstruction",'Results Log'!$G$5:$G$404,"Main")</f>
        <v/>
      </c>
      <c r="E25" s="49">
        <f>COUNTIFS('Results Log'!$V$5:$V$404,$A25,'Results Log'!$C$5:$C$404,"Holdup",'Results Log'!$G$5:$G$404,"Main")</f>
        <v/>
      </c>
      <c r="F25" s="55">
        <f>SUM(B25:E25)</f>
        <v/>
      </c>
    </row>
    <row r="26" ht="15" customHeight="1" s="35">
      <c r="A26" s="42" t="inlineStr">
        <is>
          <t>Wrong type</t>
        </is>
      </c>
      <c r="B26" s="49">
        <f>COUNTIFS('Results Log'!$V$5:$V$404,$A26,'Results Log'!$C$5:$C$404,"Smoking",'Results Log'!$G$5:$G$404,"Main")</f>
        <v/>
      </c>
      <c r="C26" s="49">
        <f>COUNTIFS('Results Log'!$V$5:$V$404,$A26,'Results Log'!$C$5:$C$404,"Drinking",'Results Log'!$G$5:$G$404,"Main")</f>
        <v/>
      </c>
      <c r="D26" s="49">
        <f>COUNTIFS('Results Log'!$V$5:$V$404,$A26,'Results Log'!$C$5:$C$404,"Parking Obstruction",'Results Log'!$G$5:$G$404,"Main")</f>
        <v/>
      </c>
      <c r="E26" s="49">
        <f>COUNTIFS('Results Log'!$V$5:$V$404,$A26,'Results Log'!$C$5:$C$404,"Holdup",'Results Log'!$G$5:$G$404,"Main")</f>
        <v/>
      </c>
      <c r="F26" s="55">
        <f>SUM(B26:E26)</f>
        <v/>
      </c>
    </row>
    <row r="27" ht="15" customHeight="1" s="35">
      <c r="A27" s="42" t="inlineStr">
        <is>
          <t>Look-alike object</t>
        </is>
      </c>
      <c r="B27" s="49">
        <f>COUNTIFS('Results Log'!$V$5:$V$404,$A27,'Results Log'!$C$5:$C$404,"Smoking",'Results Log'!$G$5:$G$404,"Main")</f>
        <v/>
      </c>
      <c r="C27" s="49">
        <f>COUNTIFS('Results Log'!$V$5:$V$404,$A27,'Results Log'!$C$5:$C$404,"Drinking",'Results Log'!$G$5:$G$404,"Main")</f>
        <v/>
      </c>
      <c r="D27" s="49">
        <f>COUNTIFS('Results Log'!$V$5:$V$404,$A27,'Results Log'!$C$5:$C$404,"Parking Obstruction",'Results Log'!$G$5:$G$404,"Main")</f>
        <v/>
      </c>
      <c r="E27" s="49">
        <f>COUNTIFS('Results Log'!$V$5:$V$404,$A27,'Results Log'!$C$5:$C$404,"Holdup",'Results Log'!$G$5:$G$404,"Main")</f>
        <v/>
      </c>
      <c r="F27" s="55">
        <f>SUM(B27:E27)</f>
        <v/>
      </c>
    </row>
    <row r="28" ht="15" customHeight="1" s="35">
      <c r="A28" s="42" t="inlineStr">
        <is>
          <t>Crowd</t>
        </is>
      </c>
      <c r="B28" s="49">
        <f>COUNTIFS('Results Log'!$V$5:$V$404,$A28,'Results Log'!$C$5:$C$404,"Smoking",'Results Log'!$G$5:$G$404,"Main")</f>
        <v/>
      </c>
      <c r="C28" s="49">
        <f>COUNTIFS('Results Log'!$V$5:$V$404,$A28,'Results Log'!$C$5:$C$404,"Drinking",'Results Log'!$G$5:$G$404,"Main")</f>
        <v/>
      </c>
      <c r="D28" s="49">
        <f>COUNTIFS('Results Log'!$V$5:$V$404,$A28,'Results Log'!$C$5:$C$404,"Parking Obstruction",'Results Log'!$G$5:$G$404,"Main")</f>
        <v/>
      </c>
      <c r="E28" s="49">
        <f>COUNTIFS('Results Log'!$V$5:$V$404,$A28,'Results Log'!$C$5:$C$404,"Holdup",'Results Log'!$G$5:$G$404,"Main")</f>
        <v/>
      </c>
      <c r="F28" s="55">
        <f>SUM(B28:E28)</f>
        <v/>
      </c>
    </row>
    <row r="29" ht="15" customHeight="1" s="35">
      <c r="A29" s="42" t="inlineStr">
        <is>
          <t>Other</t>
        </is>
      </c>
      <c r="B29" s="49">
        <f>COUNTIFS('Results Log'!$V$5:$V$404,$A29,'Results Log'!$C$5:$C$404,"Smoking",'Results Log'!$G$5:$G$404,"Main")</f>
        <v/>
      </c>
      <c r="C29" s="49">
        <f>COUNTIFS('Results Log'!$V$5:$V$404,$A29,'Results Log'!$C$5:$C$404,"Drinking",'Results Log'!$G$5:$G$404,"Main")</f>
        <v/>
      </c>
      <c r="D29" s="49">
        <f>COUNTIFS('Results Log'!$V$5:$V$404,$A29,'Results Log'!$C$5:$C$404,"Parking Obstruction",'Results Log'!$G$5:$G$404,"Main")</f>
        <v/>
      </c>
      <c r="E29" s="49">
        <f>COUNTIFS('Results Log'!$V$5:$V$404,$A29,'Results Log'!$C$5:$C$404,"Holdup",'Results Log'!$G$5:$G$404,"Main")</f>
        <v/>
      </c>
      <c r="F29" s="55">
        <f>SUM(B29:E29)</f>
        <v/>
      </c>
    </row>
  </sheetData>
  <conditionalFormatting sqref="B15">
    <cfRule type="cellIs" rank="0" priority="2" equalAverage="0" operator="greaterThan" aboveAverage="0" dxfId="1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4" min="1" max="1"/>
    <col width="12" customWidth="1" style="34" min="2" max="2"/>
    <col width="7" customWidth="1" style="34" min="3" max="5"/>
    <col width="15" customWidth="1" style="34" min="6" max="6"/>
    <col width="14" customWidth="1" style="34" min="7" max="7"/>
    <col width="12" customWidth="1" style="34" min="8" max="8"/>
    <col width="9" customWidth="1" style="34" min="9" max="9"/>
    <col width="10" customWidth="1" style="34" min="10" max="12"/>
    <col width="9" customWidth="1" style="34" min="13" max="13"/>
    <col width="10" customWidth="1" style="34" min="14" max="16"/>
    <col width="13" customWidth="1" style="34" min="17" max="17"/>
    <col width="9" customWidth="1" style="34" min="18" max="18"/>
  </cols>
  <sheetData>
    <row r="1" ht="19.7" customHeight="1" s="35">
      <c r="A1" s="36" t="inlineStr">
        <is>
          <t>Validation set — real thresholds</t>
        </is>
      </c>
    </row>
    <row r="2" ht="15" customHeight="1" s="35">
      <c r="A2" s="37" t="inlineStr">
        <is>
          <t>Clips run with the real parking threshold (Ord. No. 601) and real inuman duration. Reported separately to show the real rule works.</t>
        </is>
      </c>
    </row>
    <row r="4" ht="36" customHeight="1" s="35">
      <c r="A4" s="45" t="inlineStr">
        <is>
          <t>Violation</t>
        </is>
      </c>
      <c r="B4" s="45" t="inlineStr">
        <is>
          <t>Real acts scored</t>
        </is>
      </c>
      <c r="C4" s="45" t="inlineStr">
        <is>
          <t>TP</t>
        </is>
      </c>
      <c r="D4" s="45" t="inlineStr">
        <is>
          <t>FN</t>
        </is>
      </c>
      <c r="E4" s="45" t="inlineStr">
        <is>
          <t>TN</t>
        </is>
      </c>
      <c r="F4" s="45" t="inlineStr">
        <is>
          <t>FP (look-alike / no violation)</t>
        </is>
      </c>
      <c r="G4" s="45" t="inlineStr">
        <is>
          <t>FP (false alarm on actors)</t>
        </is>
      </c>
      <c r="H4" s="45" t="inlineStr">
        <is>
          <t>FP (unscripted)</t>
        </is>
      </c>
      <c r="I4" s="45" t="inlineStr">
        <is>
          <t>FP total</t>
        </is>
      </c>
      <c r="J4" s="45" t="inlineStr">
        <is>
          <t>Accuracy</t>
        </is>
      </c>
      <c r="K4" s="45" t="inlineStr">
        <is>
          <t>Precision</t>
        </is>
      </c>
      <c r="L4" s="45" t="inlineStr">
        <is>
          <t>Recall</t>
        </is>
      </c>
      <c r="M4" s="45" t="inlineStr">
        <is>
          <t>F1</t>
        </is>
      </c>
      <c r="N4" s="45" t="inlineStr">
        <is>
          <t>Avg delay (s)</t>
        </is>
      </c>
      <c r="O4" s="45" t="inlineStr">
        <is>
          <t>Duplicates</t>
        </is>
      </c>
      <c r="P4" s="45" t="inlineStr">
        <is>
          <t>Late detections</t>
        </is>
      </c>
      <c r="Q4" s="45" t="inlineStr">
        <is>
          <t>Unscripted real (excluded)</t>
        </is>
      </c>
      <c r="R4" s="45" t="inlineStr">
        <is>
          <t>Needs tag</t>
        </is>
      </c>
    </row>
    <row r="5" ht="15" customHeight="1" s="35">
      <c r="A5" s="56" t="inlineStr">
        <is>
          <t>Smoking</t>
        </is>
      </c>
      <c r="B5" s="49">
        <f>C5+D5</f>
        <v/>
      </c>
      <c r="C5" s="49">
        <f>COUNTIFS('Results Log'!$G$5:$G$404,"Validation",'Results Log'!$B$5:$B$404,"Expected",'Results Log'!$C$5:$C$404,"Smoking",'Results Log'!$Q$5:$Q$404,"TP")</f>
        <v/>
      </c>
      <c r="D5" s="49">
        <f>COUNTIFS('Results Log'!$G$5:$G$404,"Validation",'Results Log'!$B$5:$B$404,"Expected",'Results Log'!$C$5:$C$404,"Smoking",'Results Log'!$Q$5:$Q$404,"FN")</f>
        <v/>
      </c>
      <c r="E5" s="49">
        <f>COUNTIFS('Results Log'!$G$5:$G$404,"Validation",'Results Log'!$B$5:$B$404,"Expected",'Results Log'!$C$5:$C$404,"Smoking",'Results Log'!$Q$5:$Q$404,"TN")</f>
        <v/>
      </c>
      <c r="F5" s="49">
        <f>COUNTIFS('Results Log'!$G$5:$G$404,"Validation",'Results Log'!$B$5:$B$404,"Expected",'Results Log'!$C$5:$C$404,"Smoking",'Results Log'!$Q$5:$Q$404,"FP")</f>
        <v/>
      </c>
      <c r="G5" s="49">
        <f>COUNTIFS('Results Log'!$G$5:$G$404,"Validation",'Results Log'!$B$5:$B$404,"Unmatched alert",'Results Log'!$C$5:$C$404,"Smoking",'Results Log'!$P$5:$P$404,"False alarm")</f>
        <v/>
      </c>
      <c r="H5" s="49">
        <f>COUNTIFS('Results Log'!$G$5:$G$404,"Validation",'Results Log'!$B$5:$B$404,"Unmatched alert",'Results Log'!$C$5:$C$404,"Smoking",'Results Log'!$P$5:$P$404,"Unscripted – false alarm")</f>
        <v/>
      </c>
      <c r="I5" s="55">
        <f>F5+G5+H5</f>
        <v/>
      </c>
      <c r="J5" s="57">
        <f>IFERROR((C5+E5)/(C5+D5+E5+I5),"–")</f>
        <v/>
      </c>
      <c r="K5" s="57">
        <f>IFERROR(C5/(C5+I5),"–")</f>
        <v/>
      </c>
      <c r="L5" s="57">
        <f>IFERROR(C5/(C5+D5),"–")</f>
        <v/>
      </c>
      <c r="M5" s="57">
        <f>IFERROR(2*K5*L5/(K5+L5),"–")</f>
        <v/>
      </c>
      <c r="N5" s="54">
        <f>IFERROR(AVERAGEIFS('Results Log'!$N$5:$N$404,'Results Log'!$G$5:$G$404,"Validation",'Results Log'!$Q$5:$Q$404,"TP",'Results Log'!$C$5:$C$404,"Smoking"),"–")</f>
        <v/>
      </c>
      <c r="O5" s="49">
        <f>COUNTIFS('Results Log'!$G$5:$G$404,"Validation",'Results Log'!$B$5:$B$404,"Unmatched alert",'Results Log'!$C$5:$C$404,"Smoking",'Results Log'!$P$5:$P$404,"Duplicate")</f>
        <v/>
      </c>
      <c r="P5" s="49">
        <f>COUNTIFS('Results Log'!$G$5:$G$404,"Validation",'Results Log'!$B$5:$B$404,"Unmatched alert",'Results Log'!$C$5:$C$404,"Smoking",'Results Log'!$P$5:$P$404,"Late (real act)")</f>
        <v/>
      </c>
      <c r="Q5" s="49">
        <f>COUNTIFS('Results Log'!$G$5:$G$404,"Validation",'Results Log'!$B$5:$B$404,"Unmatched alert",'Results Log'!$C$5:$C$404,"Smoking",'Results Log'!$P$5:$P$404,"Unscripted – real violation")</f>
        <v/>
      </c>
      <c r="R5" s="49">
        <f>COUNTIFS('Results Log'!$G$5:$G$404,"Validation",'Results Log'!$C$5:$C$404,"Smoking",'Results Log'!$Q$5:$Q$404,"Needs tag")+COUNTIFS('Results Log'!$G$5:$G$404,"Validation",'Results Log'!$C$5:$C$404,"Smoking",'Results Log'!$Q$5:$Q$404,"Needs start")</f>
        <v/>
      </c>
    </row>
    <row r="6" ht="15" customHeight="1" s="35">
      <c r="A6" s="56" t="inlineStr">
        <is>
          <t>Drinking</t>
        </is>
      </c>
      <c r="B6" s="49">
        <f>C6+D6</f>
        <v/>
      </c>
      <c r="C6" s="49">
        <f>COUNTIFS('Results Log'!$G$5:$G$404,"Validation",'Results Log'!$B$5:$B$404,"Expected",'Results Log'!$C$5:$C$404,"Drinking",'Results Log'!$Q$5:$Q$404,"TP")</f>
        <v/>
      </c>
      <c r="D6" s="49">
        <f>COUNTIFS('Results Log'!$G$5:$G$404,"Validation",'Results Log'!$B$5:$B$404,"Expected",'Results Log'!$C$5:$C$404,"Drinking",'Results Log'!$Q$5:$Q$404,"FN")</f>
        <v/>
      </c>
      <c r="E6" s="49">
        <f>COUNTIFS('Results Log'!$G$5:$G$404,"Validation",'Results Log'!$B$5:$B$404,"Expected",'Results Log'!$C$5:$C$404,"Drinking",'Results Log'!$Q$5:$Q$404,"TN")</f>
        <v/>
      </c>
      <c r="F6" s="49">
        <f>COUNTIFS('Results Log'!$G$5:$G$404,"Validation",'Results Log'!$B$5:$B$404,"Expected",'Results Log'!$C$5:$C$404,"Drinking",'Results Log'!$Q$5:$Q$404,"FP")</f>
        <v/>
      </c>
      <c r="G6" s="49">
        <f>COUNTIFS('Results Log'!$G$5:$G$404,"Validation",'Results Log'!$B$5:$B$404,"Unmatched alert",'Results Log'!$C$5:$C$404,"Drinking",'Results Log'!$P$5:$P$404,"False alarm")</f>
        <v/>
      </c>
      <c r="H6" s="49">
        <f>COUNTIFS('Results Log'!$G$5:$G$404,"Validation",'Results Log'!$B$5:$B$404,"Unmatched alert",'Results Log'!$C$5:$C$404,"Drinking",'Results Log'!$P$5:$P$404,"Unscripted – false alarm")</f>
        <v/>
      </c>
      <c r="I6" s="55">
        <f>F6+G6+H6</f>
        <v/>
      </c>
      <c r="J6" s="57">
        <f>IFERROR((C6+E6)/(C6+D6+E6+I6),"–")</f>
        <v/>
      </c>
      <c r="K6" s="57">
        <f>IFERROR(C6/(C6+I6),"–")</f>
        <v/>
      </c>
      <c r="L6" s="57">
        <f>IFERROR(C6/(C6+D6),"–")</f>
        <v/>
      </c>
      <c r="M6" s="57">
        <f>IFERROR(2*K6*L6/(K6+L6),"–")</f>
        <v/>
      </c>
      <c r="N6" s="54">
        <f>IFERROR(AVERAGEIFS('Results Log'!$N$5:$N$404,'Results Log'!$G$5:$G$404,"Validation",'Results Log'!$Q$5:$Q$404,"TP",'Results Log'!$C$5:$C$404,"Drinking"),"–")</f>
        <v/>
      </c>
      <c r="O6" s="49">
        <f>COUNTIFS('Results Log'!$G$5:$G$404,"Validation",'Results Log'!$B$5:$B$404,"Unmatched alert",'Results Log'!$C$5:$C$404,"Drinking",'Results Log'!$P$5:$P$404,"Duplicate")</f>
        <v/>
      </c>
      <c r="P6" s="49">
        <f>COUNTIFS('Results Log'!$G$5:$G$404,"Validation",'Results Log'!$B$5:$B$404,"Unmatched alert",'Results Log'!$C$5:$C$404,"Drinking",'Results Log'!$P$5:$P$404,"Late (real act)")</f>
        <v/>
      </c>
      <c r="Q6" s="49">
        <f>COUNTIFS('Results Log'!$G$5:$G$404,"Validation",'Results Log'!$B$5:$B$404,"Unmatched alert",'Results Log'!$C$5:$C$404,"Drinking",'Results Log'!$P$5:$P$404,"Unscripted – real violation")</f>
        <v/>
      </c>
      <c r="R6" s="49">
        <f>COUNTIFS('Results Log'!$G$5:$G$404,"Validation",'Results Log'!$C$5:$C$404,"Drinking",'Results Log'!$Q$5:$Q$404,"Needs tag")+COUNTIFS('Results Log'!$G$5:$G$404,"Validation",'Results Log'!$C$5:$C$404,"Drinking",'Results Log'!$Q$5:$Q$404,"Needs start")</f>
        <v/>
      </c>
    </row>
    <row r="7" ht="15" customHeight="1" s="35">
      <c r="A7" s="56" t="inlineStr">
        <is>
          <t>Parking Obstruction</t>
        </is>
      </c>
      <c r="B7" s="49">
        <f>C7+D7</f>
        <v/>
      </c>
      <c r="C7" s="49">
        <f>COUNTIFS('Results Log'!$G$5:$G$404,"Validation",'Results Log'!$B$5:$B$404,"Expected",'Results Log'!$C$5:$C$404,"Parking Obstruction",'Results Log'!$Q$5:$Q$404,"TP")</f>
        <v/>
      </c>
      <c r="D7" s="49">
        <f>COUNTIFS('Results Log'!$G$5:$G$404,"Validation",'Results Log'!$B$5:$B$404,"Expected",'Results Log'!$C$5:$C$404,"Parking Obstruction",'Results Log'!$Q$5:$Q$404,"FN")</f>
        <v/>
      </c>
      <c r="E7" s="49">
        <f>COUNTIFS('Results Log'!$G$5:$G$404,"Validation",'Results Log'!$B$5:$B$404,"Expected",'Results Log'!$C$5:$C$404,"Parking Obstruction",'Results Log'!$Q$5:$Q$404,"TN")</f>
        <v/>
      </c>
      <c r="F7" s="49">
        <f>COUNTIFS('Results Log'!$G$5:$G$404,"Validation",'Results Log'!$B$5:$B$404,"Expected",'Results Log'!$C$5:$C$404,"Parking Obstruction",'Results Log'!$Q$5:$Q$404,"FP")</f>
        <v/>
      </c>
      <c r="G7" s="49">
        <f>COUNTIFS('Results Log'!$G$5:$G$404,"Validation",'Results Log'!$B$5:$B$404,"Unmatched alert",'Results Log'!$C$5:$C$404,"Parking Obstruction",'Results Log'!$P$5:$P$404,"False alarm")</f>
        <v/>
      </c>
      <c r="H7" s="49">
        <f>COUNTIFS('Results Log'!$G$5:$G$404,"Validation",'Results Log'!$B$5:$B$404,"Unmatched alert",'Results Log'!$C$5:$C$404,"Parking Obstruction",'Results Log'!$P$5:$P$404,"Unscripted – false alarm")</f>
        <v/>
      </c>
      <c r="I7" s="55">
        <f>F7+G7+H7</f>
        <v/>
      </c>
      <c r="J7" s="57">
        <f>IFERROR((C7+E7)/(C7+D7+E7+I7),"–")</f>
        <v/>
      </c>
      <c r="K7" s="57">
        <f>IFERROR(C7/(C7+I7),"–")</f>
        <v/>
      </c>
      <c r="L7" s="57">
        <f>IFERROR(C7/(C7+D7),"–")</f>
        <v/>
      </c>
      <c r="M7" s="57">
        <f>IFERROR(2*K7*L7/(K7+L7),"–")</f>
        <v/>
      </c>
      <c r="N7" s="54">
        <f>IFERROR(AVERAGEIFS('Results Log'!$N$5:$N$404,'Results Log'!$G$5:$G$404,"Validation",'Results Log'!$Q$5:$Q$404,"TP",'Results Log'!$C$5:$C$404,"Parking Obstruction"),"–")</f>
        <v/>
      </c>
      <c r="O7" s="49">
        <f>COUNTIFS('Results Log'!$G$5:$G$404,"Validation",'Results Log'!$B$5:$B$404,"Unmatched alert",'Results Log'!$C$5:$C$404,"Parking Obstruction",'Results Log'!$P$5:$P$404,"Duplicate")</f>
        <v/>
      </c>
      <c r="P7" s="49">
        <f>COUNTIFS('Results Log'!$G$5:$G$404,"Validation",'Results Log'!$B$5:$B$404,"Unmatched alert",'Results Log'!$C$5:$C$404,"Parking Obstruction",'Results Log'!$P$5:$P$404,"Late (real act)")</f>
        <v/>
      </c>
      <c r="Q7" s="49">
        <f>COUNTIFS('Results Log'!$G$5:$G$404,"Validation",'Results Log'!$B$5:$B$404,"Unmatched alert",'Results Log'!$C$5:$C$404,"Parking Obstruction",'Results Log'!$P$5:$P$404,"Unscripted – real violation")</f>
        <v/>
      </c>
      <c r="R7" s="49">
        <f>COUNTIFS('Results Log'!$G$5:$G$404,"Validation",'Results Log'!$C$5:$C$404,"Parking Obstruction",'Results Log'!$Q$5:$Q$404,"Needs tag")+COUNTIFS('Results Log'!$G$5:$G$404,"Validation",'Results Log'!$C$5:$C$404,"Parking Obstruction",'Results Log'!$Q$5:$Q$404,"Needs start")</f>
        <v/>
      </c>
    </row>
    <row r="8" ht="15" customHeight="1" s="35">
      <c r="A8" s="56" t="inlineStr">
        <is>
          <t>Holdup</t>
        </is>
      </c>
      <c r="B8" s="49">
        <f>C8+D8</f>
        <v/>
      </c>
      <c r="C8" s="49">
        <f>COUNTIFS('Results Log'!$G$5:$G$404,"Validation",'Results Log'!$B$5:$B$404,"Expected",'Results Log'!$C$5:$C$404,"Holdup",'Results Log'!$Q$5:$Q$404,"TP")</f>
        <v/>
      </c>
      <c r="D8" s="49">
        <f>COUNTIFS('Results Log'!$G$5:$G$404,"Validation",'Results Log'!$B$5:$B$404,"Expected",'Results Log'!$C$5:$C$404,"Holdup",'Results Log'!$Q$5:$Q$404,"FN")</f>
        <v/>
      </c>
      <c r="E8" s="49">
        <f>COUNTIFS('Results Log'!$G$5:$G$404,"Validation",'Results Log'!$B$5:$B$404,"Expected",'Results Log'!$C$5:$C$404,"Holdup",'Results Log'!$Q$5:$Q$404,"TN")</f>
        <v/>
      </c>
      <c r="F8" s="49">
        <f>COUNTIFS('Results Log'!$G$5:$G$404,"Validation",'Results Log'!$B$5:$B$404,"Expected",'Results Log'!$C$5:$C$404,"Holdup",'Results Log'!$Q$5:$Q$404,"FP")</f>
        <v/>
      </c>
      <c r="G8" s="49">
        <f>COUNTIFS('Results Log'!$G$5:$G$404,"Validation",'Results Log'!$B$5:$B$404,"Unmatched alert",'Results Log'!$C$5:$C$404,"Holdup",'Results Log'!$P$5:$P$404,"False alarm")</f>
        <v/>
      </c>
      <c r="H8" s="49">
        <f>COUNTIFS('Results Log'!$G$5:$G$404,"Validation",'Results Log'!$B$5:$B$404,"Unmatched alert",'Results Log'!$C$5:$C$404,"Holdup",'Results Log'!$P$5:$P$404,"Unscripted – false alarm")</f>
        <v/>
      </c>
      <c r="I8" s="55">
        <f>F8+G8+H8</f>
        <v/>
      </c>
      <c r="J8" s="57">
        <f>IFERROR((C8+E8)/(C8+D8+E8+I8),"–")</f>
        <v/>
      </c>
      <c r="K8" s="57">
        <f>IFERROR(C8/(C8+I8),"–")</f>
        <v/>
      </c>
      <c r="L8" s="57">
        <f>IFERROR(C8/(C8+D8),"–")</f>
        <v/>
      </c>
      <c r="M8" s="57">
        <f>IFERROR(2*K8*L8/(K8+L8),"–")</f>
        <v/>
      </c>
      <c r="N8" s="54">
        <f>IFERROR(AVERAGEIFS('Results Log'!$N$5:$N$404,'Results Log'!$G$5:$G$404,"Validation",'Results Log'!$Q$5:$Q$404,"TP",'Results Log'!$C$5:$C$404,"Holdup"),"–")</f>
        <v/>
      </c>
      <c r="O8" s="49">
        <f>COUNTIFS('Results Log'!$G$5:$G$404,"Validation",'Results Log'!$B$5:$B$404,"Unmatched alert",'Results Log'!$C$5:$C$404,"Holdup",'Results Log'!$P$5:$P$404,"Duplicate")</f>
        <v/>
      </c>
      <c r="P8" s="49">
        <f>COUNTIFS('Results Log'!$G$5:$G$404,"Validation",'Results Log'!$B$5:$B$404,"Unmatched alert",'Results Log'!$C$5:$C$404,"Holdup",'Results Log'!$P$5:$P$404,"Late (real act)")</f>
        <v/>
      </c>
      <c r="Q8" s="49">
        <f>COUNTIFS('Results Log'!$G$5:$G$404,"Validation",'Results Log'!$B$5:$B$404,"Unmatched alert",'Results Log'!$C$5:$C$404,"Holdup",'Results Log'!$P$5:$P$404,"Unscripted – real violation")</f>
        <v/>
      </c>
      <c r="R8" s="49">
        <f>COUNTIFS('Results Log'!$G$5:$G$404,"Validation",'Results Log'!$C$5:$C$404,"Holdup",'Results Log'!$Q$5:$Q$404,"Needs tag")+COUNTIFS('Results Log'!$G$5:$G$404,"Validation",'Results Log'!$C$5:$C$404,"Holdup",'Results Log'!$Q$5:$Q$404,"Needs start")</f>
        <v/>
      </c>
    </row>
    <row r="9" ht="15" customHeight="1" s="35">
      <c r="A9" s="41" t="inlineStr">
        <is>
          <t>OVERALL</t>
        </is>
      </c>
      <c r="B9" s="58">
        <f>C9+D9</f>
        <v/>
      </c>
      <c r="C9" s="58">
        <f>COUNTIFS('Results Log'!$G$5:$G$404,"Validation",'Results Log'!$B$5:$B$404,"Expected",'Results Log'!$Q$5:$Q$404,"TP")</f>
        <v/>
      </c>
      <c r="D9" s="58">
        <f>COUNTIFS('Results Log'!$G$5:$G$404,"Validation",'Results Log'!$B$5:$B$404,"Expected",'Results Log'!$Q$5:$Q$404,"FN")</f>
        <v/>
      </c>
      <c r="E9" s="58">
        <f>COUNTIFS('Results Log'!$G$5:$G$404,"Validation",'Results Log'!$B$5:$B$404,"Expected",'Results Log'!$Q$5:$Q$404,"TN")</f>
        <v/>
      </c>
      <c r="F9" s="58">
        <f>COUNTIFS('Results Log'!$G$5:$G$404,"Validation",'Results Log'!$B$5:$B$404,"Expected",'Results Log'!$Q$5:$Q$404,"FP")</f>
        <v/>
      </c>
      <c r="G9" s="58">
        <f>COUNTIFS('Results Log'!$G$5:$G$404,"Validation",'Results Log'!$B$5:$B$404,"Unmatched alert",'Results Log'!$P$5:$P$404,"False alarm")</f>
        <v/>
      </c>
      <c r="H9" s="58">
        <f>COUNTIFS('Results Log'!$G$5:$G$404,"Validation",'Results Log'!$B$5:$B$404,"Unmatched alert",'Results Log'!$P$5:$P$404,"Unscripted – false alarm")</f>
        <v/>
      </c>
      <c r="I9" s="59">
        <f>F9+G9+H9</f>
        <v/>
      </c>
      <c r="J9" s="60">
        <f>IFERROR((C9+E9)/(C9+D9+E9+I9),"–")</f>
        <v/>
      </c>
      <c r="K9" s="60">
        <f>IFERROR(C9/(C9+I9),"–")</f>
        <v/>
      </c>
      <c r="L9" s="60">
        <f>IFERROR(C9/(C9+D9),"–")</f>
        <v/>
      </c>
      <c r="M9" s="60">
        <f>IFERROR(2*K9*L9/(K9+L9),"–")</f>
        <v/>
      </c>
      <c r="N9" s="61">
        <f>IFERROR(AVERAGEIFS('Results Log'!$N$5:$N$404,'Results Log'!$G$5:$G$404,"Validation",'Results Log'!$Q$5:$Q$404,"TP"),"–")</f>
        <v/>
      </c>
      <c r="O9" s="58">
        <f>COUNTIFS('Results Log'!$G$5:$G$404,"Validation",'Results Log'!$B$5:$B$404,"Unmatched alert",'Results Log'!$P$5:$P$404,"Duplicate")</f>
        <v/>
      </c>
      <c r="P9" s="58">
        <f>COUNTIFS('Results Log'!$G$5:$G$404,"Validation",'Results Log'!$B$5:$B$404,"Unmatched alert",'Results Log'!$P$5:$P$404,"Late (real act)")</f>
        <v/>
      </c>
      <c r="Q9" s="58">
        <f>COUNTIFS('Results Log'!$G$5:$G$404,"Validation",'Results Log'!$B$5:$B$404,"Unmatched alert",'Results Log'!$P$5:$P$404,"Unscripted – real violation")</f>
        <v/>
      </c>
      <c r="R9" s="58">
        <f>COUNTIFS('Results Log'!$G$5:$G$404,"Validation",'Results Log'!$Q$5:$Q$404,"Needs tag")+COUNTIFS('Results Log'!$G$5:$G$404,"Validation",'Results Log'!$Q$5:$Q$404,"Needs start")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4" min="1" max="1"/>
    <col width="14" customWidth="1" style="34" min="2" max="2"/>
    <col width="13" customWidth="1" style="34" min="3" max="11"/>
  </cols>
  <sheetData>
    <row r="1" ht="19.7" customHeight="1" s="35">
      <c r="A1" s="36" t="inlineStr">
        <is>
          <t>Breakdown — for Results and Discussion (Main set)</t>
        </is>
      </c>
    </row>
    <row r="2" ht="15" customHeight="1" s="35">
      <c r="A2" s="37" t="inlineStr">
        <is>
          <t>FP here = look-alike/no-violation FP + false alarms (actors or unscripted) in clips with that condition.</t>
        </is>
      </c>
    </row>
    <row r="4" ht="15" customHeight="1" s="35">
      <c r="A4" s="63" t="inlineStr">
        <is>
          <t>1. By distance</t>
        </is>
      </c>
    </row>
    <row r="5" ht="30" customHeight="1" s="35">
      <c r="A5" s="45" t="inlineStr">
        <is>
          <t>Violation</t>
        </is>
      </c>
      <c r="B5" s="45" t="inlineStr">
        <is>
          <t>Distance</t>
        </is>
      </c>
      <c r="C5" s="45" t="inlineStr">
        <is>
          <t>Real acts</t>
        </is>
      </c>
      <c r="D5" s="45" t="inlineStr">
        <is>
          <t>TP</t>
        </is>
      </c>
      <c r="E5" s="45" t="inlineStr">
        <is>
          <t>FN</t>
        </is>
      </c>
      <c r="F5" s="45" t="inlineStr">
        <is>
          <t>TN</t>
        </is>
      </c>
      <c r="G5" s="45" t="inlineStr">
        <is>
          <t>FP</t>
        </is>
      </c>
      <c r="H5" s="45" t="inlineStr">
        <is>
          <t>Accuracy</t>
        </is>
      </c>
      <c r="I5" s="45" t="inlineStr">
        <is>
          <t>Precision</t>
        </is>
      </c>
      <c r="J5" s="45" t="inlineStr">
        <is>
          <t>Recall</t>
        </is>
      </c>
    </row>
    <row r="6" ht="15" customHeight="1" s="35">
      <c r="A6" s="56" t="inlineStr">
        <is>
          <t>Smoking</t>
        </is>
      </c>
      <c r="B6" s="65" t="inlineStr">
        <is>
          <t>Near</t>
        </is>
      </c>
      <c r="C6" s="49">
        <f>COUNTIFS('Results Log'!$G$5:$G$404,"Main",'Results Log'!$S$5:$S$404,"Near",'Results Log'!$C$5:$C$404,"Smoking",'Results Log'!$B$5:$B$404,"Expected",'Results Log'!$D$5:$D$404,"Violation")</f>
        <v/>
      </c>
      <c r="D6" s="49">
        <f>COUNTIFS('Results Log'!$G$5:$G$404,"Main",'Results Log'!$S$5:$S$404,"Near",'Results Log'!$C$5:$C$404,"Smoking",'Results Log'!$Q$5:$Q$404,"TP")</f>
        <v/>
      </c>
      <c r="E6" s="49">
        <f>COUNTIFS('Results Log'!$G$5:$G$404,"Main",'Results Log'!$S$5:$S$404,"Near",'Results Log'!$C$5:$C$404,"Smoking",'Results Log'!$Q$5:$Q$404,"FN")</f>
        <v/>
      </c>
      <c r="F6" s="49">
        <f>COUNTIFS('Results Log'!$G$5:$G$404,"Main",'Results Log'!$S$5:$S$404,"Near",'Results Log'!$C$5:$C$404,"Smoking",'Results Log'!$Q$5:$Q$404,"TN")</f>
        <v/>
      </c>
      <c r="G6" s="49">
        <f>COUNTIFS('Results Log'!$G$5:$G$404,"Main",'Results Log'!$S$5:$S$404,"Near",'Results Log'!$C$5:$C$404,"Smoking",'Results Log'!$Q$5:$Q$404,"FP")</f>
        <v/>
      </c>
      <c r="H6" s="57">
        <f>IFERROR((D6+F6)/(D6+E6+F6+G6),"–")</f>
        <v/>
      </c>
      <c r="I6" s="57">
        <f>IFERROR(D6/(D6+G6),"–")</f>
        <v/>
      </c>
      <c r="J6" s="57">
        <f>IFERROR(D6/(D6+E6),"–")</f>
        <v/>
      </c>
    </row>
    <row r="7" ht="15" customHeight="1" s="35">
      <c r="A7" s="56" t="inlineStr">
        <is>
          <t>Smoking</t>
        </is>
      </c>
      <c r="B7" s="65" t="inlineStr">
        <is>
          <t>Mid</t>
        </is>
      </c>
      <c r="C7" s="49">
        <f>COUNTIFS('Results Log'!$G$5:$G$404,"Main",'Results Log'!$S$5:$S$404,"Mid",'Results Log'!$C$5:$C$404,"Smoking",'Results Log'!$B$5:$B$404,"Expected",'Results Log'!$D$5:$D$404,"Violation")</f>
        <v/>
      </c>
      <c r="D7" s="49">
        <f>COUNTIFS('Results Log'!$G$5:$G$404,"Main",'Results Log'!$S$5:$S$404,"Mid",'Results Log'!$C$5:$C$404,"Smoking",'Results Log'!$Q$5:$Q$404,"TP")</f>
        <v/>
      </c>
      <c r="E7" s="49">
        <f>COUNTIFS('Results Log'!$G$5:$G$404,"Main",'Results Log'!$S$5:$S$404,"Mid",'Results Log'!$C$5:$C$404,"Smoking",'Results Log'!$Q$5:$Q$404,"FN")</f>
        <v/>
      </c>
      <c r="F7" s="49">
        <f>COUNTIFS('Results Log'!$G$5:$G$404,"Main",'Results Log'!$S$5:$S$404,"Mid",'Results Log'!$C$5:$C$404,"Smoking",'Results Log'!$Q$5:$Q$404,"TN")</f>
        <v/>
      </c>
      <c r="G7" s="49">
        <f>COUNTIFS('Results Log'!$G$5:$G$404,"Main",'Results Log'!$S$5:$S$404,"Mid",'Results Log'!$C$5:$C$404,"Smoking",'Results Log'!$Q$5:$Q$404,"FP")</f>
        <v/>
      </c>
      <c r="H7" s="57">
        <f>IFERROR((D7+F7)/(D7+E7+F7+G7),"–")</f>
        <v/>
      </c>
      <c r="I7" s="57">
        <f>IFERROR(D7/(D7+G7),"–")</f>
        <v/>
      </c>
      <c r="J7" s="57">
        <f>IFERROR(D7/(D7+E7),"–")</f>
        <v/>
      </c>
    </row>
    <row r="8" ht="15" customHeight="1" s="35">
      <c r="A8" s="56" t="inlineStr">
        <is>
          <t>Smoking</t>
        </is>
      </c>
      <c r="B8" s="65" t="inlineStr">
        <is>
          <t>Far</t>
        </is>
      </c>
      <c r="C8" s="49">
        <f>COUNTIFS('Results Log'!$G$5:$G$404,"Main",'Results Log'!$S$5:$S$404,"Far",'Results Log'!$C$5:$C$404,"Smoking",'Results Log'!$B$5:$B$404,"Expected",'Results Log'!$D$5:$D$404,"Violation")</f>
        <v/>
      </c>
      <c r="D8" s="49">
        <f>COUNTIFS('Results Log'!$G$5:$G$404,"Main",'Results Log'!$S$5:$S$404,"Far",'Results Log'!$C$5:$C$404,"Smoking",'Results Log'!$Q$5:$Q$404,"TP")</f>
        <v/>
      </c>
      <c r="E8" s="49">
        <f>COUNTIFS('Results Log'!$G$5:$G$404,"Main",'Results Log'!$S$5:$S$404,"Far",'Results Log'!$C$5:$C$404,"Smoking",'Results Log'!$Q$5:$Q$404,"FN")</f>
        <v/>
      </c>
      <c r="F8" s="49">
        <f>COUNTIFS('Results Log'!$G$5:$G$404,"Main",'Results Log'!$S$5:$S$404,"Far",'Results Log'!$C$5:$C$404,"Smoking",'Results Log'!$Q$5:$Q$404,"TN")</f>
        <v/>
      </c>
      <c r="G8" s="49">
        <f>COUNTIFS('Results Log'!$G$5:$G$404,"Main",'Results Log'!$S$5:$S$404,"Far",'Results Log'!$C$5:$C$404,"Smoking",'Results Log'!$Q$5:$Q$404,"FP")</f>
        <v/>
      </c>
      <c r="H8" s="57">
        <f>IFERROR((D8+F8)/(D8+E8+F8+G8),"–")</f>
        <v/>
      </c>
      <c r="I8" s="57">
        <f>IFERROR(D8/(D8+G8),"–")</f>
        <v/>
      </c>
      <c r="J8" s="57">
        <f>IFERROR(D8/(D8+E8),"–")</f>
        <v/>
      </c>
    </row>
    <row r="9" ht="15" customHeight="1" s="35">
      <c r="A9" s="56" t="inlineStr">
        <is>
          <t>Drinking</t>
        </is>
      </c>
      <c r="B9" s="65" t="inlineStr">
        <is>
          <t>Near</t>
        </is>
      </c>
      <c r="C9" s="49">
        <f>COUNTIFS('Results Log'!$G$5:$G$404,"Main",'Results Log'!$S$5:$S$404,"Near",'Results Log'!$C$5:$C$404,"Drinking",'Results Log'!$B$5:$B$404,"Expected",'Results Log'!$D$5:$D$404,"Violation")</f>
        <v/>
      </c>
      <c r="D9" s="49">
        <f>COUNTIFS('Results Log'!$G$5:$G$404,"Main",'Results Log'!$S$5:$S$404,"Near",'Results Log'!$C$5:$C$404,"Drinking",'Results Log'!$Q$5:$Q$404,"TP")</f>
        <v/>
      </c>
      <c r="E9" s="49">
        <f>COUNTIFS('Results Log'!$G$5:$G$404,"Main",'Results Log'!$S$5:$S$404,"Near",'Results Log'!$C$5:$C$404,"Drinking",'Results Log'!$Q$5:$Q$404,"FN")</f>
        <v/>
      </c>
      <c r="F9" s="49">
        <f>COUNTIFS('Results Log'!$G$5:$G$404,"Main",'Results Log'!$S$5:$S$404,"Near",'Results Log'!$C$5:$C$404,"Drinking",'Results Log'!$Q$5:$Q$404,"TN")</f>
        <v/>
      </c>
      <c r="G9" s="49">
        <f>COUNTIFS('Results Log'!$G$5:$G$404,"Main",'Results Log'!$S$5:$S$404,"Near",'Results Log'!$C$5:$C$404,"Drinking",'Results Log'!$Q$5:$Q$404,"FP")</f>
        <v/>
      </c>
      <c r="H9" s="57">
        <f>IFERROR((D9+F9)/(D9+E9+F9+G9),"–")</f>
        <v/>
      </c>
      <c r="I9" s="57">
        <f>IFERROR(D9/(D9+G9),"–")</f>
        <v/>
      </c>
      <c r="J9" s="57">
        <f>IFERROR(D9/(D9+E9),"–")</f>
        <v/>
      </c>
    </row>
    <row r="10" ht="15" customHeight="1" s="35">
      <c r="A10" s="56" t="inlineStr">
        <is>
          <t>Drinking</t>
        </is>
      </c>
      <c r="B10" s="65" t="inlineStr">
        <is>
          <t>Mid</t>
        </is>
      </c>
      <c r="C10" s="49">
        <f>COUNTIFS('Results Log'!$G$5:$G$404,"Main",'Results Log'!$S$5:$S$404,"Mid",'Results Log'!$C$5:$C$404,"Drinking",'Results Log'!$B$5:$B$404,"Expected",'Results Log'!$D$5:$D$404,"Violation")</f>
        <v/>
      </c>
      <c r="D10" s="49">
        <f>COUNTIFS('Results Log'!$G$5:$G$404,"Main",'Results Log'!$S$5:$S$404,"Mid",'Results Log'!$C$5:$C$404,"Drinking",'Results Log'!$Q$5:$Q$404,"TP")</f>
        <v/>
      </c>
      <c r="E10" s="49">
        <f>COUNTIFS('Results Log'!$G$5:$G$404,"Main",'Results Log'!$S$5:$S$404,"Mid",'Results Log'!$C$5:$C$404,"Drinking",'Results Log'!$Q$5:$Q$404,"FN")</f>
        <v/>
      </c>
      <c r="F10" s="49">
        <f>COUNTIFS('Results Log'!$G$5:$G$404,"Main",'Results Log'!$S$5:$S$404,"Mid",'Results Log'!$C$5:$C$404,"Drinking",'Results Log'!$Q$5:$Q$404,"TN")</f>
        <v/>
      </c>
      <c r="G10" s="49">
        <f>COUNTIFS('Results Log'!$G$5:$G$404,"Main",'Results Log'!$S$5:$S$404,"Mid",'Results Log'!$C$5:$C$404,"Drinking",'Results Log'!$Q$5:$Q$404,"FP")</f>
        <v/>
      </c>
      <c r="H10" s="57">
        <f>IFERROR((D10+F10)/(D10+E10+F10+G10),"–")</f>
        <v/>
      </c>
      <c r="I10" s="57">
        <f>IFERROR(D10/(D10+G10),"–")</f>
        <v/>
      </c>
      <c r="J10" s="57">
        <f>IFERROR(D10/(D10+E10),"–")</f>
        <v/>
      </c>
    </row>
    <row r="11" ht="15" customHeight="1" s="35">
      <c r="A11" s="56" t="inlineStr">
        <is>
          <t>Drinking</t>
        </is>
      </c>
      <c r="B11" s="65" t="inlineStr">
        <is>
          <t>Far</t>
        </is>
      </c>
      <c r="C11" s="49">
        <f>COUNTIFS('Results Log'!$G$5:$G$404,"Main",'Results Log'!$S$5:$S$404,"Far",'Results Log'!$C$5:$C$404,"Drinking",'Results Log'!$B$5:$B$404,"Expected",'Results Log'!$D$5:$D$404,"Violation")</f>
        <v/>
      </c>
      <c r="D11" s="49">
        <f>COUNTIFS('Results Log'!$G$5:$G$404,"Main",'Results Log'!$S$5:$S$404,"Far",'Results Log'!$C$5:$C$404,"Drinking",'Results Log'!$Q$5:$Q$404,"TP")</f>
        <v/>
      </c>
      <c r="E11" s="49">
        <f>COUNTIFS('Results Log'!$G$5:$G$404,"Main",'Results Log'!$S$5:$S$404,"Far",'Results Log'!$C$5:$C$404,"Drinking",'Results Log'!$Q$5:$Q$404,"FN")</f>
        <v/>
      </c>
      <c r="F11" s="49">
        <f>COUNTIFS('Results Log'!$G$5:$G$404,"Main",'Results Log'!$S$5:$S$404,"Far",'Results Log'!$C$5:$C$404,"Drinking",'Results Log'!$Q$5:$Q$404,"TN")</f>
        <v/>
      </c>
      <c r="G11" s="49">
        <f>COUNTIFS('Results Log'!$G$5:$G$404,"Main",'Results Log'!$S$5:$S$404,"Far",'Results Log'!$C$5:$C$404,"Drinking",'Results Log'!$Q$5:$Q$404,"FP")</f>
        <v/>
      </c>
      <c r="H11" s="57">
        <f>IFERROR((D11+F11)/(D11+E11+F11+G11),"–")</f>
        <v/>
      </c>
      <c r="I11" s="57">
        <f>IFERROR(D11/(D11+G11),"–")</f>
        <v/>
      </c>
      <c r="J11" s="57">
        <f>IFERROR(D11/(D11+E11),"–")</f>
        <v/>
      </c>
    </row>
    <row r="12" ht="15" customHeight="1" s="35">
      <c r="A12" s="56" t="inlineStr">
        <is>
          <t>Parking Obstruction</t>
        </is>
      </c>
      <c r="B12" s="65" t="inlineStr">
        <is>
          <t>Near</t>
        </is>
      </c>
      <c r="C12" s="49">
        <f>COUNTIFS('Results Log'!$G$5:$G$404,"Main",'Results Log'!$S$5:$S$404,"Near",'Results Log'!$C$5:$C$404,"Parking Obstruction",'Results Log'!$B$5:$B$404,"Expected",'Results Log'!$D$5:$D$404,"Violation")</f>
        <v/>
      </c>
      <c r="D12" s="49">
        <f>COUNTIFS('Results Log'!$G$5:$G$404,"Main",'Results Log'!$S$5:$S$404,"Near",'Results Log'!$C$5:$C$404,"Parking Obstruction",'Results Log'!$Q$5:$Q$404,"TP")</f>
        <v/>
      </c>
      <c r="E12" s="49">
        <f>COUNTIFS('Results Log'!$G$5:$G$404,"Main",'Results Log'!$S$5:$S$404,"Near",'Results Log'!$C$5:$C$404,"Parking Obstruction",'Results Log'!$Q$5:$Q$404,"FN")</f>
        <v/>
      </c>
      <c r="F12" s="49">
        <f>COUNTIFS('Results Log'!$G$5:$G$404,"Main",'Results Log'!$S$5:$S$404,"Near",'Results Log'!$C$5:$C$404,"Parking Obstruction",'Results Log'!$Q$5:$Q$404,"TN")</f>
        <v/>
      </c>
      <c r="G12" s="49">
        <f>COUNTIFS('Results Log'!$G$5:$G$404,"Main",'Results Log'!$S$5:$S$404,"Near",'Results Log'!$C$5:$C$404,"Parking Obstruction",'Results Log'!$Q$5:$Q$404,"FP")</f>
        <v/>
      </c>
      <c r="H12" s="57">
        <f>IFERROR((D12+F12)/(D12+E12+F12+G12),"–")</f>
        <v/>
      </c>
      <c r="I12" s="57">
        <f>IFERROR(D12/(D12+G12),"–")</f>
        <v/>
      </c>
      <c r="J12" s="57">
        <f>IFERROR(D12/(D12+E12),"–")</f>
        <v/>
      </c>
    </row>
    <row r="13" ht="15" customHeight="1" s="35">
      <c r="A13" s="56" t="inlineStr">
        <is>
          <t>Parking Obstruction</t>
        </is>
      </c>
      <c r="B13" s="65" t="inlineStr">
        <is>
          <t>Mid</t>
        </is>
      </c>
      <c r="C13" s="49">
        <f>COUNTIFS('Results Log'!$G$5:$G$404,"Main",'Results Log'!$S$5:$S$404,"Mid",'Results Log'!$C$5:$C$404,"Parking Obstruction",'Results Log'!$B$5:$B$404,"Expected",'Results Log'!$D$5:$D$404,"Violation")</f>
        <v/>
      </c>
      <c r="D13" s="49">
        <f>COUNTIFS('Results Log'!$G$5:$G$404,"Main",'Results Log'!$S$5:$S$404,"Mid",'Results Log'!$C$5:$C$404,"Parking Obstruction",'Results Log'!$Q$5:$Q$404,"TP")</f>
        <v/>
      </c>
      <c r="E13" s="49">
        <f>COUNTIFS('Results Log'!$G$5:$G$404,"Main",'Results Log'!$S$5:$S$404,"Mid",'Results Log'!$C$5:$C$404,"Parking Obstruction",'Results Log'!$Q$5:$Q$404,"FN")</f>
        <v/>
      </c>
      <c r="F13" s="49">
        <f>COUNTIFS('Results Log'!$G$5:$G$404,"Main",'Results Log'!$S$5:$S$404,"Mid",'Results Log'!$C$5:$C$404,"Parking Obstruction",'Results Log'!$Q$5:$Q$404,"TN")</f>
        <v/>
      </c>
      <c r="G13" s="49">
        <f>COUNTIFS('Results Log'!$G$5:$G$404,"Main",'Results Log'!$S$5:$S$404,"Mid",'Results Log'!$C$5:$C$404,"Parking Obstruction",'Results Log'!$Q$5:$Q$404,"FP")</f>
        <v/>
      </c>
      <c r="H13" s="57">
        <f>IFERROR((D13+F13)/(D13+E13+F13+G13),"–")</f>
        <v/>
      </c>
      <c r="I13" s="57">
        <f>IFERROR(D13/(D13+G13),"–")</f>
        <v/>
      </c>
      <c r="J13" s="57">
        <f>IFERROR(D13/(D13+E13),"–")</f>
        <v/>
      </c>
    </row>
    <row r="14" ht="15" customHeight="1" s="35">
      <c r="A14" s="56" t="inlineStr">
        <is>
          <t>Parking Obstruction</t>
        </is>
      </c>
      <c r="B14" s="65" t="inlineStr">
        <is>
          <t>Far</t>
        </is>
      </c>
      <c r="C14" s="49">
        <f>COUNTIFS('Results Log'!$G$5:$G$404,"Main",'Results Log'!$S$5:$S$404,"Far",'Results Log'!$C$5:$C$404,"Parking Obstruction",'Results Log'!$B$5:$B$404,"Expected",'Results Log'!$D$5:$D$404,"Violation")</f>
        <v/>
      </c>
      <c r="D14" s="49">
        <f>COUNTIFS('Results Log'!$G$5:$G$404,"Main",'Results Log'!$S$5:$S$404,"Far",'Results Log'!$C$5:$C$404,"Parking Obstruction",'Results Log'!$Q$5:$Q$404,"TP")</f>
        <v/>
      </c>
      <c r="E14" s="49">
        <f>COUNTIFS('Results Log'!$G$5:$G$404,"Main",'Results Log'!$S$5:$S$404,"Far",'Results Log'!$C$5:$C$404,"Parking Obstruction",'Results Log'!$Q$5:$Q$404,"FN")</f>
        <v/>
      </c>
      <c r="F14" s="49">
        <f>COUNTIFS('Results Log'!$G$5:$G$404,"Main",'Results Log'!$S$5:$S$404,"Far",'Results Log'!$C$5:$C$404,"Parking Obstruction",'Results Log'!$Q$5:$Q$404,"TN")</f>
        <v/>
      </c>
      <c r="G14" s="49">
        <f>COUNTIFS('Results Log'!$G$5:$G$404,"Main",'Results Log'!$S$5:$S$404,"Far",'Results Log'!$C$5:$C$404,"Parking Obstruction",'Results Log'!$Q$5:$Q$404,"FP")</f>
        <v/>
      </c>
      <c r="H14" s="57">
        <f>IFERROR((D14+F14)/(D14+E14+F14+G14),"–")</f>
        <v/>
      </c>
      <c r="I14" s="57">
        <f>IFERROR(D14/(D14+G14),"–")</f>
        <v/>
      </c>
      <c r="J14" s="57">
        <f>IFERROR(D14/(D14+E14),"–")</f>
        <v/>
      </c>
    </row>
    <row r="15" ht="15" customHeight="1" s="35">
      <c r="A15" s="56" t="inlineStr">
        <is>
          <t>Holdup</t>
        </is>
      </c>
      <c r="B15" s="65" t="inlineStr">
        <is>
          <t>Near</t>
        </is>
      </c>
      <c r="C15" s="49">
        <f>COUNTIFS('Results Log'!$G$5:$G$404,"Main",'Results Log'!$S$5:$S$404,"Near",'Results Log'!$C$5:$C$404,"Holdup",'Results Log'!$B$5:$B$404,"Expected",'Results Log'!$D$5:$D$404,"Violation")</f>
        <v/>
      </c>
      <c r="D15" s="49">
        <f>COUNTIFS('Results Log'!$G$5:$G$404,"Main",'Results Log'!$S$5:$S$404,"Near",'Results Log'!$C$5:$C$404,"Holdup",'Results Log'!$Q$5:$Q$404,"TP")</f>
        <v/>
      </c>
      <c r="E15" s="49">
        <f>COUNTIFS('Results Log'!$G$5:$G$404,"Main",'Results Log'!$S$5:$S$404,"Near",'Results Log'!$C$5:$C$404,"Holdup",'Results Log'!$Q$5:$Q$404,"FN")</f>
        <v/>
      </c>
      <c r="F15" s="49">
        <f>COUNTIFS('Results Log'!$G$5:$G$404,"Main",'Results Log'!$S$5:$S$404,"Near",'Results Log'!$C$5:$C$404,"Holdup",'Results Log'!$Q$5:$Q$404,"TN")</f>
        <v/>
      </c>
      <c r="G15" s="49">
        <f>COUNTIFS('Results Log'!$G$5:$G$404,"Main",'Results Log'!$S$5:$S$404,"Near",'Results Log'!$C$5:$C$404,"Holdup",'Results Log'!$Q$5:$Q$404,"FP")</f>
        <v/>
      </c>
      <c r="H15" s="57">
        <f>IFERROR((D15+F15)/(D15+E15+F15+G15),"–")</f>
        <v/>
      </c>
      <c r="I15" s="57">
        <f>IFERROR(D15/(D15+G15),"–")</f>
        <v/>
      </c>
      <c r="J15" s="57">
        <f>IFERROR(D15/(D15+E15),"–")</f>
        <v/>
      </c>
    </row>
    <row r="16" ht="15" customHeight="1" s="35">
      <c r="A16" s="56" t="inlineStr">
        <is>
          <t>Holdup</t>
        </is>
      </c>
      <c r="B16" s="65" t="inlineStr">
        <is>
          <t>Mid</t>
        </is>
      </c>
      <c r="C16" s="49">
        <f>COUNTIFS('Results Log'!$G$5:$G$404,"Main",'Results Log'!$S$5:$S$404,"Mid",'Results Log'!$C$5:$C$404,"Holdup",'Results Log'!$B$5:$B$404,"Expected",'Results Log'!$D$5:$D$404,"Violation")</f>
        <v/>
      </c>
      <c r="D16" s="49">
        <f>COUNTIFS('Results Log'!$G$5:$G$404,"Main",'Results Log'!$S$5:$S$404,"Mid",'Results Log'!$C$5:$C$404,"Holdup",'Results Log'!$Q$5:$Q$404,"TP")</f>
        <v/>
      </c>
      <c r="E16" s="49">
        <f>COUNTIFS('Results Log'!$G$5:$G$404,"Main",'Results Log'!$S$5:$S$404,"Mid",'Results Log'!$C$5:$C$404,"Holdup",'Results Log'!$Q$5:$Q$404,"FN")</f>
        <v/>
      </c>
      <c r="F16" s="49">
        <f>COUNTIFS('Results Log'!$G$5:$G$404,"Main",'Results Log'!$S$5:$S$404,"Mid",'Results Log'!$C$5:$C$404,"Holdup",'Results Log'!$Q$5:$Q$404,"TN")</f>
        <v/>
      </c>
      <c r="G16" s="49">
        <f>COUNTIFS('Results Log'!$G$5:$G$404,"Main",'Results Log'!$S$5:$S$404,"Mid",'Results Log'!$C$5:$C$404,"Holdup",'Results Log'!$Q$5:$Q$404,"FP")</f>
        <v/>
      </c>
      <c r="H16" s="57">
        <f>IFERROR((D16+F16)/(D16+E16+F16+G16),"–")</f>
        <v/>
      </c>
      <c r="I16" s="57">
        <f>IFERROR(D16/(D16+G16),"–")</f>
        <v/>
      </c>
      <c r="J16" s="57">
        <f>IFERROR(D16/(D16+E16),"–")</f>
        <v/>
      </c>
    </row>
    <row r="17" ht="15" customHeight="1" s="35">
      <c r="A17" s="56" t="inlineStr">
        <is>
          <t>Holdup</t>
        </is>
      </c>
      <c r="B17" s="65" t="inlineStr">
        <is>
          <t>Far</t>
        </is>
      </c>
      <c r="C17" s="49">
        <f>COUNTIFS('Results Log'!$G$5:$G$404,"Main",'Results Log'!$S$5:$S$404,"Far",'Results Log'!$C$5:$C$404,"Holdup",'Results Log'!$B$5:$B$404,"Expected",'Results Log'!$D$5:$D$404,"Violation")</f>
        <v/>
      </c>
      <c r="D17" s="49">
        <f>COUNTIFS('Results Log'!$G$5:$G$404,"Main",'Results Log'!$S$5:$S$404,"Far",'Results Log'!$C$5:$C$404,"Holdup",'Results Log'!$Q$5:$Q$404,"TP")</f>
        <v/>
      </c>
      <c r="E17" s="49">
        <f>COUNTIFS('Results Log'!$G$5:$G$404,"Main",'Results Log'!$S$5:$S$404,"Far",'Results Log'!$C$5:$C$404,"Holdup",'Results Log'!$Q$5:$Q$404,"FN")</f>
        <v/>
      </c>
      <c r="F17" s="49">
        <f>COUNTIFS('Results Log'!$G$5:$G$404,"Main",'Results Log'!$S$5:$S$404,"Far",'Results Log'!$C$5:$C$404,"Holdup",'Results Log'!$Q$5:$Q$404,"TN")</f>
        <v/>
      </c>
      <c r="G17" s="49">
        <f>COUNTIFS('Results Log'!$G$5:$G$404,"Main",'Results Log'!$S$5:$S$404,"Far",'Results Log'!$C$5:$C$404,"Holdup",'Results Log'!$Q$5:$Q$404,"FP")</f>
        <v/>
      </c>
      <c r="H17" s="57">
        <f>IFERROR((D17+F17)/(D17+E17+F17+G17),"–")</f>
        <v/>
      </c>
      <c r="I17" s="57">
        <f>IFERROR(D17/(D17+G17),"–")</f>
        <v/>
      </c>
      <c r="J17" s="57">
        <f>IFERROR(D17/(D17+E17),"–")</f>
        <v/>
      </c>
    </row>
    <row r="18" ht="15" customHeight="1" s="35">
      <c r="A18" s="41" t="inlineStr">
        <is>
          <t>ALL TYPES</t>
        </is>
      </c>
      <c r="B18" s="65" t="inlineStr">
        <is>
          <t>Near</t>
        </is>
      </c>
      <c r="C18" s="49">
        <f>COUNTIFS('Results Log'!$G$5:$G$404,"Main",'Results Log'!$S$5:$S$404,"Near",'Results Log'!$B$5:$B$404,"Expected",'Results Log'!$D$5:$D$404,"Violation")</f>
        <v/>
      </c>
      <c r="D18" s="49">
        <f>COUNTIFS('Results Log'!$G$5:$G$404,"Main",'Results Log'!$S$5:$S$404,"Near",'Results Log'!$Q$5:$Q$404,"TP")</f>
        <v/>
      </c>
      <c r="E18" s="49">
        <f>COUNTIFS('Results Log'!$G$5:$G$404,"Main",'Results Log'!$S$5:$S$404,"Near",'Results Log'!$Q$5:$Q$404,"FN")</f>
        <v/>
      </c>
      <c r="F18" s="49">
        <f>COUNTIFS('Results Log'!$G$5:$G$404,"Main",'Results Log'!$S$5:$S$404,"Near",'Results Log'!$Q$5:$Q$404,"TN")</f>
        <v/>
      </c>
      <c r="G18" s="49">
        <f>COUNTIFS('Results Log'!$G$5:$G$404,"Main",'Results Log'!$S$5:$S$404,"Near",'Results Log'!$Q$5:$Q$404,"FP")</f>
        <v/>
      </c>
      <c r="H18" s="57">
        <f>IFERROR((D18+F18)/(D18+E18+F18+G18),"–")</f>
        <v/>
      </c>
      <c r="I18" s="57">
        <f>IFERROR(D18/(D18+G18),"–")</f>
        <v/>
      </c>
      <c r="J18" s="57">
        <f>IFERROR(D18/(D18+E18),"–")</f>
        <v/>
      </c>
    </row>
    <row r="19" ht="15" customHeight="1" s="35">
      <c r="A19" s="41" t="inlineStr">
        <is>
          <t>ALL TYPES</t>
        </is>
      </c>
      <c r="B19" s="65" t="inlineStr">
        <is>
          <t>Mid</t>
        </is>
      </c>
      <c r="C19" s="49">
        <f>COUNTIFS('Results Log'!$G$5:$G$404,"Main",'Results Log'!$S$5:$S$404,"Mid",'Results Log'!$B$5:$B$404,"Expected",'Results Log'!$D$5:$D$404,"Violation")</f>
        <v/>
      </c>
      <c r="D19" s="49">
        <f>COUNTIFS('Results Log'!$G$5:$G$404,"Main",'Results Log'!$S$5:$S$404,"Mid",'Results Log'!$Q$5:$Q$404,"TP")</f>
        <v/>
      </c>
      <c r="E19" s="49">
        <f>COUNTIFS('Results Log'!$G$5:$G$404,"Main",'Results Log'!$S$5:$S$404,"Mid",'Results Log'!$Q$5:$Q$404,"FN")</f>
        <v/>
      </c>
      <c r="F19" s="49">
        <f>COUNTIFS('Results Log'!$G$5:$G$404,"Main",'Results Log'!$S$5:$S$404,"Mid",'Results Log'!$Q$5:$Q$404,"TN")</f>
        <v/>
      </c>
      <c r="G19" s="49">
        <f>COUNTIFS('Results Log'!$G$5:$G$404,"Main",'Results Log'!$S$5:$S$404,"Mid",'Results Log'!$Q$5:$Q$404,"FP")</f>
        <v/>
      </c>
      <c r="H19" s="57">
        <f>IFERROR((D19+F19)/(D19+E19+F19+G19),"–")</f>
        <v/>
      </c>
      <c r="I19" s="57">
        <f>IFERROR(D19/(D19+G19),"–")</f>
        <v/>
      </c>
      <c r="J19" s="57">
        <f>IFERROR(D19/(D19+E19),"–")</f>
        <v/>
      </c>
    </row>
    <row r="20" ht="15" customHeight="1" s="35">
      <c r="A20" s="41" t="inlineStr">
        <is>
          <t>ALL TYPES</t>
        </is>
      </c>
      <c r="B20" s="65" t="inlineStr">
        <is>
          <t>Far</t>
        </is>
      </c>
      <c r="C20" s="49">
        <f>COUNTIFS('Results Log'!$G$5:$G$404,"Main",'Results Log'!$S$5:$S$404,"Far",'Results Log'!$B$5:$B$404,"Expected",'Results Log'!$D$5:$D$404,"Violation")</f>
        <v/>
      </c>
      <c r="D20" s="49">
        <f>COUNTIFS('Results Log'!$G$5:$G$404,"Main",'Results Log'!$S$5:$S$404,"Far",'Results Log'!$Q$5:$Q$404,"TP")</f>
        <v/>
      </c>
      <c r="E20" s="49">
        <f>COUNTIFS('Results Log'!$G$5:$G$404,"Main",'Results Log'!$S$5:$S$404,"Far",'Results Log'!$Q$5:$Q$404,"FN")</f>
        <v/>
      </c>
      <c r="F20" s="49">
        <f>COUNTIFS('Results Log'!$G$5:$G$404,"Main",'Results Log'!$S$5:$S$404,"Far",'Results Log'!$Q$5:$Q$404,"TN")</f>
        <v/>
      </c>
      <c r="G20" s="49">
        <f>COUNTIFS('Results Log'!$G$5:$G$404,"Main",'Results Log'!$S$5:$S$404,"Far",'Results Log'!$Q$5:$Q$404,"FP")</f>
        <v/>
      </c>
      <c r="H20" s="57">
        <f>IFERROR((D20+F20)/(D20+E20+F20+G20),"–")</f>
        <v/>
      </c>
      <c r="I20" s="57">
        <f>IFERROR(D20/(D20+G20),"–")</f>
        <v/>
      </c>
      <c r="J20" s="57">
        <f>IFERROR(D20/(D20+E20),"–")</f>
        <v/>
      </c>
    </row>
    <row r="22" ht="15" customHeight="1" s="35">
      <c r="A22" s="63" t="inlineStr">
        <is>
          <t>2. By time of day</t>
        </is>
      </c>
    </row>
    <row r="23" ht="30" customHeight="1" s="35">
      <c r="A23" s="45" t="inlineStr">
        <is>
          <t>Violation</t>
        </is>
      </c>
      <c r="B23" s="45" t="inlineStr">
        <is>
          <t>Time of day</t>
        </is>
      </c>
      <c r="C23" s="45" t="inlineStr">
        <is>
          <t>Real acts</t>
        </is>
      </c>
      <c r="D23" s="45" t="inlineStr">
        <is>
          <t>TP</t>
        </is>
      </c>
      <c r="E23" s="45" t="inlineStr">
        <is>
          <t>FN</t>
        </is>
      </c>
      <c r="F23" s="45" t="inlineStr">
        <is>
          <t>TN</t>
        </is>
      </c>
      <c r="G23" s="45" t="inlineStr">
        <is>
          <t>FP</t>
        </is>
      </c>
      <c r="H23" s="45" t="inlineStr">
        <is>
          <t>Accuracy</t>
        </is>
      </c>
      <c r="I23" s="45" t="inlineStr">
        <is>
          <t>Precision</t>
        </is>
      </c>
      <c r="J23" s="45" t="inlineStr">
        <is>
          <t>Recall</t>
        </is>
      </c>
    </row>
    <row r="24" ht="15" customHeight="1" s="35">
      <c r="A24" s="56" t="inlineStr">
        <is>
          <t>Smoking</t>
        </is>
      </c>
      <c r="B24" s="65" t="inlineStr">
        <is>
          <t>Day</t>
        </is>
      </c>
      <c r="C24" s="49">
        <f>COUNTIFS('Results Log'!$G$5:$G$404,"Main",'Results Log'!$T$5:$T$404,"Day",'Results Log'!$C$5:$C$404,"Smoking",'Results Log'!$B$5:$B$404,"Expected",'Results Log'!$D$5:$D$404,"Violation")</f>
        <v/>
      </c>
      <c r="D24" s="49">
        <f>COUNTIFS('Results Log'!$G$5:$G$404,"Main",'Results Log'!$T$5:$T$404,"Day",'Results Log'!$C$5:$C$404,"Smoking",'Results Log'!$Q$5:$Q$404,"TP")</f>
        <v/>
      </c>
      <c r="E24" s="49">
        <f>COUNTIFS('Results Log'!$G$5:$G$404,"Main",'Results Log'!$T$5:$T$404,"Day",'Results Log'!$C$5:$C$404,"Smoking",'Results Log'!$Q$5:$Q$404,"FN")</f>
        <v/>
      </c>
      <c r="F24" s="49">
        <f>COUNTIFS('Results Log'!$G$5:$G$404,"Main",'Results Log'!$T$5:$T$404,"Day",'Results Log'!$C$5:$C$404,"Smoking",'Results Log'!$Q$5:$Q$404,"TN")</f>
        <v/>
      </c>
      <c r="G24" s="49">
        <f>COUNTIFS('Results Log'!$G$5:$G$404,"Main",'Results Log'!$T$5:$T$404,"Day",'Results Log'!$C$5:$C$404,"Smoking",'Results Log'!$Q$5:$Q$404,"FP")</f>
        <v/>
      </c>
      <c r="H24" s="57">
        <f>IFERROR((D24+F24)/(D24+E24+F24+G24),"–")</f>
        <v/>
      </c>
      <c r="I24" s="57">
        <f>IFERROR(D24/(D24+G24),"–")</f>
        <v/>
      </c>
      <c r="J24" s="57">
        <f>IFERROR(D24/(D24+E24),"–")</f>
        <v/>
      </c>
    </row>
    <row r="25" ht="15" customHeight="1" s="35">
      <c r="A25" s="56" t="inlineStr">
        <is>
          <t>Smoking</t>
        </is>
      </c>
      <c r="B25" s="65" t="inlineStr">
        <is>
          <t>Afternoon</t>
        </is>
      </c>
      <c r="C25" s="49">
        <f>COUNTIFS('Results Log'!$G$5:$G$404,"Main",'Results Log'!$T$5:$T$404,"Afternoon",'Results Log'!$C$5:$C$404,"Smoking",'Results Log'!$B$5:$B$404,"Expected",'Results Log'!$D$5:$D$404,"Violation")</f>
        <v/>
      </c>
      <c r="D25" s="49">
        <f>COUNTIFS('Results Log'!$G$5:$G$404,"Main",'Results Log'!$T$5:$T$404,"Afternoon",'Results Log'!$C$5:$C$404,"Smoking",'Results Log'!$Q$5:$Q$404,"TP")</f>
        <v/>
      </c>
      <c r="E25" s="49">
        <f>COUNTIFS('Results Log'!$G$5:$G$404,"Main",'Results Log'!$T$5:$T$404,"Afternoon",'Results Log'!$C$5:$C$404,"Smoking",'Results Log'!$Q$5:$Q$404,"FN")</f>
        <v/>
      </c>
      <c r="F25" s="49">
        <f>COUNTIFS('Results Log'!$G$5:$G$404,"Main",'Results Log'!$T$5:$T$404,"Afternoon",'Results Log'!$C$5:$C$404,"Smoking",'Results Log'!$Q$5:$Q$404,"TN")</f>
        <v/>
      </c>
      <c r="G25" s="49">
        <f>COUNTIFS('Results Log'!$G$5:$G$404,"Main",'Results Log'!$T$5:$T$404,"Afternoon",'Results Log'!$C$5:$C$404,"Smoking",'Results Log'!$Q$5:$Q$404,"FP")</f>
        <v/>
      </c>
      <c r="H25" s="57">
        <f>IFERROR((D25+F25)/(D25+E25+F25+G25),"–")</f>
        <v/>
      </c>
      <c r="I25" s="57">
        <f>IFERROR(D25/(D25+G25),"–")</f>
        <v/>
      </c>
      <c r="J25" s="57">
        <f>IFERROR(D25/(D25+E25),"–")</f>
        <v/>
      </c>
    </row>
    <row r="26" ht="15" customHeight="1" s="35">
      <c r="A26" s="56" t="inlineStr">
        <is>
          <t>Smoking</t>
        </is>
      </c>
      <c r="B26" s="65" t="inlineStr">
        <is>
          <t>Night</t>
        </is>
      </c>
      <c r="C26" s="49">
        <f>COUNTIFS('Results Log'!$G$5:$G$404,"Main",'Results Log'!$T$5:$T$404,"Night",'Results Log'!$C$5:$C$404,"Smoking",'Results Log'!$B$5:$B$404,"Expected",'Results Log'!$D$5:$D$404,"Violation")</f>
        <v/>
      </c>
      <c r="D26" s="49">
        <f>COUNTIFS('Results Log'!$G$5:$G$404,"Main",'Results Log'!$T$5:$T$404,"Night",'Results Log'!$C$5:$C$404,"Smoking",'Results Log'!$Q$5:$Q$404,"TP")</f>
        <v/>
      </c>
      <c r="E26" s="49">
        <f>COUNTIFS('Results Log'!$G$5:$G$404,"Main",'Results Log'!$T$5:$T$404,"Night",'Results Log'!$C$5:$C$404,"Smoking",'Results Log'!$Q$5:$Q$404,"FN")</f>
        <v/>
      </c>
      <c r="F26" s="49">
        <f>COUNTIFS('Results Log'!$G$5:$G$404,"Main",'Results Log'!$T$5:$T$404,"Night",'Results Log'!$C$5:$C$404,"Smoking",'Results Log'!$Q$5:$Q$404,"TN")</f>
        <v/>
      </c>
      <c r="G26" s="49">
        <f>COUNTIFS('Results Log'!$G$5:$G$404,"Main",'Results Log'!$T$5:$T$404,"Night",'Results Log'!$C$5:$C$404,"Smoking",'Results Log'!$Q$5:$Q$404,"FP")</f>
        <v/>
      </c>
      <c r="H26" s="57">
        <f>IFERROR((D26+F26)/(D26+E26+F26+G26),"–")</f>
        <v/>
      </c>
      <c r="I26" s="57">
        <f>IFERROR(D26/(D26+G26),"–")</f>
        <v/>
      </c>
      <c r="J26" s="57">
        <f>IFERROR(D26/(D26+E26),"–")</f>
        <v/>
      </c>
    </row>
    <row r="27" ht="15" customHeight="1" s="35">
      <c r="A27" s="56" t="inlineStr">
        <is>
          <t>Drinking</t>
        </is>
      </c>
      <c r="B27" s="65" t="inlineStr">
        <is>
          <t>Day</t>
        </is>
      </c>
      <c r="C27" s="49">
        <f>COUNTIFS('Results Log'!$G$5:$G$404,"Main",'Results Log'!$T$5:$T$404,"Day",'Results Log'!$C$5:$C$404,"Drinking",'Results Log'!$B$5:$B$404,"Expected",'Results Log'!$D$5:$D$404,"Violation")</f>
        <v/>
      </c>
      <c r="D27" s="49">
        <f>COUNTIFS('Results Log'!$G$5:$G$404,"Main",'Results Log'!$T$5:$T$404,"Day",'Results Log'!$C$5:$C$404,"Drinking",'Results Log'!$Q$5:$Q$404,"TP")</f>
        <v/>
      </c>
      <c r="E27" s="49">
        <f>COUNTIFS('Results Log'!$G$5:$G$404,"Main",'Results Log'!$T$5:$T$404,"Day",'Results Log'!$C$5:$C$404,"Drinking",'Results Log'!$Q$5:$Q$404,"FN")</f>
        <v/>
      </c>
      <c r="F27" s="49">
        <f>COUNTIFS('Results Log'!$G$5:$G$404,"Main",'Results Log'!$T$5:$T$404,"Day",'Results Log'!$C$5:$C$404,"Drinking",'Results Log'!$Q$5:$Q$404,"TN")</f>
        <v/>
      </c>
      <c r="G27" s="49">
        <f>COUNTIFS('Results Log'!$G$5:$G$404,"Main",'Results Log'!$T$5:$T$404,"Day",'Results Log'!$C$5:$C$404,"Drinking",'Results Log'!$Q$5:$Q$404,"FP")</f>
        <v/>
      </c>
      <c r="H27" s="57">
        <f>IFERROR((D27+F27)/(D27+E27+F27+G27),"–")</f>
        <v/>
      </c>
      <c r="I27" s="57">
        <f>IFERROR(D27/(D27+G27),"–")</f>
        <v/>
      </c>
      <c r="J27" s="57">
        <f>IFERROR(D27/(D27+E27),"–")</f>
        <v/>
      </c>
    </row>
    <row r="28" ht="15" customHeight="1" s="35">
      <c r="A28" s="56" t="inlineStr">
        <is>
          <t>Drinking</t>
        </is>
      </c>
      <c r="B28" s="65" t="inlineStr">
        <is>
          <t>Afternoon</t>
        </is>
      </c>
      <c r="C28" s="49">
        <f>COUNTIFS('Results Log'!$G$5:$G$404,"Main",'Results Log'!$T$5:$T$404,"Afternoon",'Results Log'!$C$5:$C$404,"Drinking",'Results Log'!$B$5:$B$404,"Expected",'Results Log'!$D$5:$D$404,"Violation")</f>
        <v/>
      </c>
      <c r="D28" s="49">
        <f>COUNTIFS('Results Log'!$G$5:$G$404,"Main",'Results Log'!$T$5:$T$404,"Afternoon",'Results Log'!$C$5:$C$404,"Drinking",'Results Log'!$Q$5:$Q$404,"TP")</f>
        <v/>
      </c>
      <c r="E28" s="49">
        <f>COUNTIFS('Results Log'!$G$5:$G$404,"Main",'Results Log'!$T$5:$T$404,"Afternoon",'Results Log'!$C$5:$C$404,"Drinking",'Results Log'!$Q$5:$Q$404,"FN")</f>
        <v/>
      </c>
      <c r="F28" s="49">
        <f>COUNTIFS('Results Log'!$G$5:$G$404,"Main",'Results Log'!$T$5:$T$404,"Afternoon",'Results Log'!$C$5:$C$404,"Drinking",'Results Log'!$Q$5:$Q$404,"TN")</f>
        <v/>
      </c>
      <c r="G28" s="49">
        <f>COUNTIFS('Results Log'!$G$5:$G$404,"Main",'Results Log'!$T$5:$T$404,"Afternoon",'Results Log'!$C$5:$C$404,"Drinking",'Results Log'!$Q$5:$Q$404,"FP")</f>
        <v/>
      </c>
      <c r="H28" s="57">
        <f>IFERROR((D28+F28)/(D28+E28+F28+G28),"–")</f>
        <v/>
      </c>
      <c r="I28" s="57">
        <f>IFERROR(D28/(D28+G28),"–")</f>
        <v/>
      </c>
      <c r="J28" s="57">
        <f>IFERROR(D28/(D28+E28),"–")</f>
        <v/>
      </c>
    </row>
    <row r="29" ht="15" customHeight="1" s="35">
      <c r="A29" s="56" t="inlineStr">
        <is>
          <t>Drinking</t>
        </is>
      </c>
      <c r="B29" s="65" t="inlineStr">
        <is>
          <t>Night</t>
        </is>
      </c>
      <c r="C29" s="49">
        <f>COUNTIFS('Results Log'!$G$5:$G$404,"Main",'Results Log'!$T$5:$T$404,"Night",'Results Log'!$C$5:$C$404,"Drinking",'Results Log'!$B$5:$B$404,"Expected",'Results Log'!$D$5:$D$404,"Violation")</f>
        <v/>
      </c>
      <c r="D29" s="49">
        <f>COUNTIFS('Results Log'!$G$5:$G$404,"Main",'Results Log'!$T$5:$T$404,"Night",'Results Log'!$C$5:$C$404,"Drinking",'Results Log'!$Q$5:$Q$404,"TP")</f>
        <v/>
      </c>
      <c r="E29" s="49">
        <f>COUNTIFS('Results Log'!$G$5:$G$404,"Main",'Results Log'!$T$5:$T$404,"Night",'Results Log'!$C$5:$C$404,"Drinking",'Results Log'!$Q$5:$Q$404,"FN")</f>
        <v/>
      </c>
      <c r="F29" s="49">
        <f>COUNTIFS('Results Log'!$G$5:$G$404,"Main",'Results Log'!$T$5:$T$404,"Night",'Results Log'!$C$5:$C$404,"Drinking",'Results Log'!$Q$5:$Q$404,"TN")</f>
        <v/>
      </c>
      <c r="G29" s="49">
        <f>COUNTIFS('Results Log'!$G$5:$G$404,"Main",'Results Log'!$T$5:$T$404,"Night",'Results Log'!$C$5:$C$404,"Drinking",'Results Log'!$Q$5:$Q$404,"FP")</f>
        <v/>
      </c>
      <c r="H29" s="57">
        <f>IFERROR((D29+F29)/(D29+E29+F29+G29),"–")</f>
        <v/>
      </c>
      <c r="I29" s="57">
        <f>IFERROR(D29/(D29+G29),"–")</f>
        <v/>
      </c>
      <c r="J29" s="57">
        <f>IFERROR(D29/(D29+E29),"–")</f>
        <v/>
      </c>
    </row>
    <row r="30" ht="15" customHeight="1" s="35">
      <c r="A30" s="56" t="inlineStr">
        <is>
          <t>Parking Obstruction</t>
        </is>
      </c>
      <c r="B30" s="65" t="inlineStr">
        <is>
          <t>Day</t>
        </is>
      </c>
      <c r="C30" s="49">
        <f>COUNTIFS('Results Log'!$G$5:$G$404,"Main",'Results Log'!$T$5:$T$404,"Day",'Results Log'!$C$5:$C$404,"Parking Obstruction",'Results Log'!$B$5:$B$404,"Expected",'Results Log'!$D$5:$D$404,"Violation")</f>
        <v/>
      </c>
      <c r="D30" s="49">
        <f>COUNTIFS('Results Log'!$G$5:$G$404,"Main",'Results Log'!$T$5:$T$404,"Day",'Results Log'!$C$5:$C$404,"Parking Obstruction",'Results Log'!$Q$5:$Q$404,"TP")</f>
        <v/>
      </c>
      <c r="E30" s="49">
        <f>COUNTIFS('Results Log'!$G$5:$G$404,"Main",'Results Log'!$T$5:$T$404,"Day",'Results Log'!$C$5:$C$404,"Parking Obstruction",'Results Log'!$Q$5:$Q$404,"FN")</f>
        <v/>
      </c>
      <c r="F30" s="49">
        <f>COUNTIFS('Results Log'!$G$5:$G$404,"Main",'Results Log'!$T$5:$T$404,"Day",'Results Log'!$C$5:$C$404,"Parking Obstruction",'Results Log'!$Q$5:$Q$404,"TN")</f>
        <v/>
      </c>
      <c r="G30" s="49">
        <f>COUNTIFS('Results Log'!$G$5:$G$404,"Main",'Results Log'!$T$5:$T$404,"Day",'Results Log'!$C$5:$C$404,"Parking Obstruction",'Results Log'!$Q$5:$Q$404,"FP")</f>
        <v/>
      </c>
      <c r="H30" s="57">
        <f>IFERROR((D30+F30)/(D30+E30+F30+G30),"–")</f>
        <v/>
      </c>
      <c r="I30" s="57">
        <f>IFERROR(D30/(D30+G30),"–")</f>
        <v/>
      </c>
      <c r="J30" s="57">
        <f>IFERROR(D30/(D30+E30),"–")</f>
        <v/>
      </c>
    </row>
    <row r="31" ht="15" customHeight="1" s="35">
      <c r="A31" s="56" t="inlineStr">
        <is>
          <t>Parking Obstruction</t>
        </is>
      </c>
      <c r="B31" s="65" t="inlineStr">
        <is>
          <t>Afternoon</t>
        </is>
      </c>
      <c r="C31" s="49">
        <f>COUNTIFS('Results Log'!$G$5:$G$404,"Main",'Results Log'!$T$5:$T$404,"Afternoon",'Results Log'!$C$5:$C$404,"Parking Obstruction",'Results Log'!$B$5:$B$404,"Expected",'Results Log'!$D$5:$D$404,"Violation")</f>
        <v/>
      </c>
      <c r="D31" s="49">
        <f>COUNTIFS('Results Log'!$G$5:$G$404,"Main",'Results Log'!$T$5:$T$404,"Afternoon",'Results Log'!$C$5:$C$404,"Parking Obstruction",'Results Log'!$Q$5:$Q$404,"TP")</f>
        <v/>
      </c>
      <c r="E31" s="49">
        <f>COUNTIFS('Results Log'!$G$5:$G$404,"Main",'Results Log'!$T$5:$T$404,"Afternoon",'Results Log'!$C$5:$C$404,"Parking Obstruction",'Results Log'!$Q$5:$Q$404,"FN")</f>
        <v/>
      </c>
      <c r="F31" s="49">
        <f>COUNTIFS('Results Log'!$G$5:$G$404,"Main",'Results Log'!$T$5:$T$404,"Afternoon",'Results Log'!$C$5:$C$404,"Parking Obstruction",'Results Log'!$Q$5:$Q$404,"TN")</f>
        <v/>
      </c>
      <c r="G31" s="49">
        <f>COUNTIFS('Results Log'!$G$5:$G$404,"Main",'Results Log'!$T$5:$T$404,"Afternoon",'Results Log'!$C$5:$C$404,"Parking Obstruction",'Results Log'!$Q$5:$Q$404,"FP")</f>
        <v/>
      </c>
      <c r="H31" s="57">
        <f>IFERROR((D31+F31)/(D31+E31+F31+G31),"–")</f>
        <v/>
      </c>
      <c r="I31" s="57">
        <f>IFERROR(D31/(D31+G31),"–")</f>
        <v/>
      </c>
      <c r="J31" s="57">
        <f>IFERROR(D31/(D31+E31),"–")</f>
        <v/>
      </c>
    </row>
    <row r="32" ht="15" customHeight="1" s="35">
      <c r="A32" s="56" t="inlineStr">
        <is>
          <t>Parking Obstruction</t>
        </is>
      </c>
      <c r="B32" s="65" t="inlineStr">
        <is>
          <t>Night</t>
        </is>
      </c>
      <c r="C32" s="49">
        <f>COUNTIFS('Results Log'!$G$5:$G$404,"Main",'Results Log'!$T$5:$T$404,"Night",'Results Log'!$C$5:$C$404,"Parking Obstruction",'Results Log'!$B$5:$B$404,"Expected",'Results Log'!$D$5:$D$404,"Violation")</f>
        <v/>
      </c>
      <c r="D32" s="49">
        <f>COUNTIFS('Results Log'!$G$5:$G$404,"Main",'Results Log'!$T$5:$T$404,"Night",'Results Log'!$C$5:$C$404,"Parking Obstruction",'Results Log'!$Q$5:$Q$404,"TP")</f>
        <v/>
      </c>
      <c r="E32" s="49">
        <f>COUNTIFS('Results Log'!$G$5:$G$404,"Main",'Results Log'!$T$5:$T$404,"Night",'Results Log'!$C$5:$C$404,"Parking Obstruction",'Results Log'!$Q$5:$Q$404,"FN")</f>
        <v/>
      </c>
      <c r="F32" s="49">
        <f>COUNTIFS('Results Log'!$G$5:$G$404,"Main",'Results Log'!$T$5:$T$404,"Night",'Results Log'!$C$5:$C$404,"Parking Obstruction",'Results Log'!$Q$5:$Q$404,"TN")</f>
        <v/>
      </c>
      <c r="G32" s="49">
        <f>COUNTIFS('Results Log'!$G$5:$G$404,"Main",'Results Log'!$T$5:$T$404,"Night",'Results Log'!$C$5:$C$404,"Parking Obstruction",'Results Log'!$Q$5:$Q$404,"FP")</f>
        <v/>
      </c>
      <c r="H32" s="57">
        <f>IFERROR((D32+F32)/(D32+E32+F32+G32),"–")</f>
        <v/>
      </c>
      <c r="I32" s="57">
        <f>IFERROR(D32/(D32+G32),"–")</f>
        <v/>
      </c>
      <c r="J32" s="57">
        <f>IFERROR(D32/(D32+E32),"–")</f>
        <v/>
      </c>
    </row>
    <row r="33" ht="15" customHeight="1" s="35">
      <c r="A33" s="56" t="inlineStr">
        <is>
          <t>Holdup</t>
        </is>
      </c>
      <c r="B33" s="65" t="inlineStr">
        <is>
          <t>Day</t>
        </is>
      </c>
      <c r="C33" s="49">
        <f>COUNTIFS('Results Log'!$G$5:$G$404,"Main",'Results Log'!$T$5:$T$404,"Day",'Results Log'!$C$5:$C$404,"Holdup",'Results Log'!$B$5:$B$404,"Expected",'Results Log'!$D$5:$D$404,"Violation")</f>
        <v/>
      </c>
      <c r="D33" s="49">
        <f>COUNTIFS('Results Log'!$G$5:$G$404,"Main",'Results Log'!$T$5:$T$404,"Day",'Results Log'!$C$5:$C$404,"Holdup",'Results Log'!$Q$5:$Q$404,"TP")</f>
        <v/>
      </c>
      <c r="E33" s="49">
        <f>COUNTIFS('Results Log'!$G$5:$G$404,"Main",'Results Log'!$T$5:$T$404,"Day",'Results Log'!$C$5:$C$404,"Holdup",'Results Log'!$Q$5:$Q$404,"FN")</f>
        <v/>
      </c>
      <c r="F33" s="49">
        <f>COUNTIFS('Results Log'!$G$5:$G$404,"Main",'Results Log'!$T$5:$T$404,"Day",'Results Log'!$C$5:$C$404,"Holdup",'Results Log'!$Q$5:$Q$404,"TN")</f>
        <v/>
      </c>
      <c r="G33" s="49">
        <f>COUNTIFS('Results Log'!$G$5:$G$404,"Main",'Results Log'!$T$5:$T$404,"Day",'Results Log'!$C$5:$C$404,"Holdup",'Results Log'!$Q$5:$Q$404,"FP")</f>
        <v/>
      </c>
      <c r="H33" s="57">
        <f>IFERROR((D33+F33)/(D33+E33+F33+G33),"–")</f>
        <v/>
      </c>
      <c r="I33" s="57">
        <f>IFERROR(D33/(D33+G33),"–")</f>
        <v/>
      </c>
      <c r="J33" s="57">
        <f>IFERROR(D33/(D33+E33),"–")</f>
        <v/>
      </c>
    </row>
    <row r="34" ht="15" customHeight="1" s="35">
      <c r="A34" s="56" t="inlineStr">
        <is>
          <t>Holdup</t>
        </is>
      </c>
      <c r="B34" s="65" t="inlineStr">
        <is>
          <t>Afternoon</t>
        </is>
      </c>
      <c r="C34" s="49">
        <f>COUNTIFS('Results Log'!$G$5:$G$404,"Main",'Results Log'!$T$5:$T$404,"Afternoon",'Results Log'!$C$5:$C$404,"Holdup",'Results Log'!$B$5:$B$404,"Expected",'Results Log'!$D$5:$D$404,"Violation")</f>
        <v/>
      </c>
      <c r="D34" s="49">
        <f>COUNTIFS('Results Log'!$G$5:$G$404,"Main",'Results Log'!$T$5:$T$404,"Afternoon",'Results Log'!$C$5:$C$404,"Holdup",'Results Log'!$Q$5:$Q$404,"TP")</f>
        <v/>
      </c>
      <c r="E34" s="49">
        <f>COUNTIFS('Results Log'!$G$5:$G$404,"Main",'Results Log'!$T$5:$T$404,"Afternoon",'Results Log'!$C$5:$C$404,"Holdup",'Results Log'!$Q$5:$Q$404,"FN")</f>
        <v/>
      </c>
      <c r="F34" s="49">
        <f>COUNTIFS('Results Log'!$G$5:$G$404,"Main",'Results Log'!$T$5:$T$404,"Afternoon",'Results Log'!$C$5:$C$404,"Holdup",'Results Log'!$Q$5:$Q$404,"TN")</f>
        <v/>
      </c>
      <c r="G34" s="49">
        <f>COUNTIFS('Results Log'!$G$5:$G$404,"Main",'Results Log'!$T$5:$T$404,"Afternoon",'Results Log'!$C$5:$C$404,"Holdup",'Results Log'!$Q$5:$Q$404,"FP")</f>
        <v/>
      </c>
      <c r="H34" s="57">
        <f>IFERROR((D34+F34)/(D34+E34+F34+G34),"–")</f>
        <v/>
      </c>
      <c r="I34" s="57">
        <f>IFERROR(D34/(D34+G34),"–")</f>
        <v/>
      </c>
      <c r="J34" s="57">
        <f>IFERROR(D34/(D34+E34),"–")</f>
        <v/>
      </c>
    </row>
    <row r="35" ht="15" customHeight="1" s="35">
      <c r="A35" s="56" t="inlineStr">
        <is>
          <t>Holdup</t>
        </is>
      </c>
      <c r="B35" s="65" t="inlineStr">
        <is>
          <t>Night</t>
        </is>
      </c>
      <c r="C35" s="49">
        <f>COUNTIFS('Results Log'!$G$5:$G$404,"Main",'Results Log'!$T$5:$T$404,"Night",'Results Log'!$C$5:$C$404,"Holdup",'Results Log'!$B$5:$B$404,"Expected",'Results Log'!$D$5:$D$404,"Violation")</f>
        <v/>
      </c>
      <c r="D35" s="49">
        <f>COUNTIFS('Results Log'!$G$5:$G$404,"Main",'Results Log'!$T$5:$T$404,"Night",'Results Log'!$C$5:$C$404,"Holdup",'Results Log'!$Q$5:$Q$404,"TP")</f>
        <v/>
      </c>
      <c r="E35" s="49">
        <f>COUNTIFS('Results Log'!$G$5:$G$404,"Main",'Results Log'!$T$5:$T$404,"Night",'Results Log'!$C$5:$C$404,"Holdup",'Results Log'!$Q$5:$Q$404,"FN")</f>
        <v/>
      </c>
      <c r="F35" s="49">
        <f>COUNTIFS('Results Log'!$G$5:$G$404,"Main",'Results Log'!$T$5:$T$404,"Night",'Results Log'!$C$5:$C$404,"Holdup",'Results Log'!$Q$5:$Q$404,"TN")</f>
        <v/>
      </c>
      <c r="G35" s="49">
        <f>COUNTIFS('Results Log'!$G$5:$G$404,"Main",'Results Log'!$T$5:$T$404,"Night",'Results Log'!$C$5:$C$404,"Holdup",'Results Log'!$Q$5:$Q$404,"FP")</f>
        <v/>
      </c>
      <c r="H35" s="57">
        <f>IFERROR((D35+F35)/(D35+E35+F35+G35),"–")</f>
        <v/>
      </c>
      <c r="I35" s="57">
        <f>IFERROR(D35/(D35+G35),"–")</f>
        <v/>
      </c>
      <c r="J35" s="57">
        <f>IFERROR(D35/(D35+E35),"–")</f>
        <v/>
      </c>
    </row>
    <row r="36" ht="15" customHeight="1" s="35">
      <c r="A36" s="41" t="inlineStr">
        <is>
          <t>ALL TYPES</t>
        </is>
      </c>
      <c r="B36" s="65" t="inlineStr">
        <is>
          <t>Day</t>
        </is>
      </c>
      <c r="C36" s="49">
        <f>COUNTIFS('Results Log'!$G$5:$G$404,"Main",'Results Log'!$T$5:$T$404,"Day",'Results Log'!$B$5:$B$404,"Expected",'Results Log'!$D$5:$D$404,"Violation")</f>
        <v/>
      </c>
      <c r="D36" s="49">
        <f>COUNTIFS('Results Log'!$G$5:$G$404,"Main",'Results Log'!$T$5:$T$404,"Day",'Results Log'!$Q$5:$Q$404,"TP")</f>
        <v/>
      </c>
      <c r="E36" s="49">
        <f>COUNTIFS('Results Log'!$G$5:$G$404,"Main",'Results Log'!$T$5:$T$404,"Day",'Results Log'!$Q$5:$Q$404,"FN")</f>
        <v/>
      </c>
      <c r="F36" s="49">
        <f>COUNTIFS('Results Log'!$G$5:$G$404,"Main",'Results Log'!$T$5:$T$404,"Day",'Results Log'!$Q$5:$Q$404,"TN")</f>
        <v/>
      </c>
      <c r="G36" s="49">
        <f>COUNTIFS('Results Log'!$G$5:$G$404,"Main",'Results Log'!$T$5:$T$404,"Day",'Results Log'!$Q$5:$Q$404,"FP")</f>
        <v/>
      </c>
      <c r="H36" s="57">
        <f>IFERROR((D36+F36)/(D36+E36+F36+G36),"–")</f>
        <v/>
      </c>
      <c r="I36" s="57">
        <f>IFERROR(D36/(D36+G36),"–")</f>
        <v/>
      </c>
      <c r="J36" s="57">
        <f>IFERROR(D36/(D36+E36),"–")</f>
        <v/>
      </c>
    </row>
    <row r="37" ht="15" customHeight="1" s="35">
      <c r="A37" s="41" t="inlineStr">
        <is>
          <t>ALL TYPES</t>
        </is>
      </c>
      <c r="B37" s="65" t="inlineStr">
        <is>
          <t>Afternoon</t>
        </is>
      </c>
      <c r="C37" s="49">
        <f>COUNTIFS('Results Log'!$G$5:$G$404,"Main",'Results Log'!$T$5:$T$404,"Afternoon",'Results Log'!$B$5:$B$404,"Expected",'Results Log'!$D$5:$D$404,"Violation")</f>
        <v/>
      </c>
      <c r="D37" s="49">
        <f>COUNTIFS('Results Log'!$G$5:$G$404,"Main",'Results Log'!$T$5:$T$404,"Afternoon",'Results Log'!$Q$5:$Q$404,"TP")</f>
        <v/>
      </c>
      <c r="E37" s="49">
        <f>COUNTIFS('Results Log'!$G$5:$G$404,"Main",'Results Log'!$T$5:$T$404,"Afternoon",'Results Log'!$Q$5:$Q$404,"FN")</f>
        <v/>
      </c>
      <c r="F37" s="49">
        <f>COUNTIFS('Results Log'!$G$5:$G$404,"Main",'Results Log'!$T$5:$T$404,"Afternoon",'Results Log'!$Q$5:$Q$404,"TN")</f>
        <v/>
      </c>
      <c r="G37" s="49">
        <f>COUNTIFS('Results Log'!$G$5:$G$404,"Main",'Results Log'!$T$5:$T$404,"Afternoon",'Results Log'!$Q$5:$Q$404,"FP")</f>
        <v/>
      </c>
      <c r="H37" s="57">
        <f>IFERROR((D37+F37)/(D37+E37+F37+G37),"–")</f>
        <v/>
      </c>
      <c r="I37" s="57">
        <f>IFERROR(D37/(D37+G37),"–")</f>
        <v/>
      </c>
      <c r="J37" s="57">
        <f>IFERROR(D37/(D37+E37),"–")</f>
        <v/>
      </c>
    </row>
    <row r="38" ht="15" customHeight="1" s="35">
      <c r="A38" s="41" t="inlineStr">
        <is>
          <t>ALL TYPES</t>
        </is>
      </c>
      <c r="B38" s="65" t="inlineStr">
        <is>
          <t>Night</t>
        </is>
      </c>
      <c r="C38" s="49">
        <f>COUNTIFS('Results Log'!$G$5:$G$404,"Main",'Results Log'!$T$5:$T$404,"Night",'Results Log'!$B$5:$B$404,"Expected",'Results Log'!$D$5:$D$404,"Violation")</f>
        <v/>
      </c>
      <c r="D38" s="49">
        <f>COUNTIFS('Results Log'!$G$5:$G$404,"Main",'Results Log'!$T$5:$T$404,"Night",'Results Log'!$Q$5:$Q$404,"TP")</f>
        <v/>
      </c>
      <c r="E38" s="49">
        <f>COUNTIFS('Results Log'!$G$5:$G$404,"Main",'Results Log'!$T$5:$T$404,"Night",'Results Log'!$Q$5:$Q$404,"FN")</f>
        <v/>
      </c>
      <c r="F38" s="49">
        <f>COUNTIFS('Results Log'!$G$5:$G$404,"Main",'Results Log'!$T$5:$T$404,"Night",'Results Log'!$Q$5:$Q$404,"TN")</f>
        <v/>
      </c>
      <c r="G38" s="49">
        <f>COUNTIFS('Results Log'!$G$5:$G$404,"Main",'Results Log'!$T$5:$T$404,"Night",'Results Log'!$Q$5:$Q$404,"FP")</f>
        <v/>
      </c>
      <c r="H38" s="57">
        <f>IFERROR((D38+F38)/(D38+E38+F38+G38),"–")</f>
        <v/>
      </c>
      <c r="I38" s="57">
        <f>IFERROR(D38/(D38+G38),"–")</f>
        <v/>
      </c>
      <c r="J38" s="57">
        <f>IFERROR(D38/(D38+E38),"–")</f>
        <v/>
      </c>
    </row>
    <row r="40" ht="15" customHeight="1" s="35">
      <c r="A40" s="63" t="inlineStr">
        <is>
          <t>3. Alert level reached on correct detections (TP)</t>
        </is>
      </c>
    </row>
    <row r="41" ht="30" customHeight="1" s="35">
      <c r="A41" s="45" t="inlineStr">
        <is>
          <t>Violation</t>
        </is>
      </c>
      <c r="B41" s="45" t="inlineStr">
        <is>
          <t>TP</t>
        </is>
      </c>
      <c r="C41" s="45" t="inlineStr">
        <is>
          <t>Likely</t>
        </is>
      </c>
      <c r="D41" s="45" t="inlineStr">
        <is>
          <t>Possible</t>
        </is>
      </c>
      <c r="E41" s="45" t="inlineStr">
        <is>
          <t>Monitoring</t>
        </is>
      </c>
      <c r="F41" s="45" t="inlineStr">
        <is>
          <t>% Likely</t>
        </is>
      </c>
    </row>
    <row r="42" ht="15" customHeight="1" s="35">
      <c r="A42" s="56" t="inlineStr">
        <is>
          <t>Smoking</t>
        </is>
      </c>
      <c r="B42" s="49">
        <f>COUNTIFS('Results Log'!$G$5:$G$404,"Main",'Results Log'!$C$5:$C$404,"Smoking",'Results Log'!$Q$5:$Q$404,"TP")</f>
        <v/>
      </c>
      <c r="C42" s="49">
        <f>COUNTIFS('Results Log'!$G$5:$G$404,"Main",'Results Log'!$C$5:$C$404,"Smoking",'Results Log'!$Q$5:$Q$404,"TP",'Results Log'!$M$5:$M$404,"Likely")</f>
        <v/>
      </c>
      <c r="D42" s="49">
        <f>COUNTIFS('Results Log'!$G$5:$G$404,"Main",'Results Log'!$C$5:$C$404,"Smoking",'Results Log'!$Q$5:$Q$404,"TP",'Results Log'!$M$5:$M$404,"Possible")</f>
        <v/>
      </c>
      <c r="E42" s="49">
        <f>COUNTIFS('Results Log'!$G$5:$G$404,"Main",'Results Log'!$C$5:$C$404,"Smoking",'Results Log'!$Q$5:$Q$404,"TP",'Results Log'!$M$5:$M$404,"Monitoring")</f>
        <v/>
      </c>
      <c r="F42" s="57">
        <f>IFERROR(C42/B42,"–")</f>
        <v/>
      </c>
    </row>
    <row r="43" ht="15" customHeight="1" s="35">
      <c r="A43" s="56" t="inlineStr">
        <is>
          <t>Drinking</t>
        </is>
      </c>
      <c r="B43" s="49">
        <f>COUNTIFS('Results Log'!$G$5:$G$404,"Main",'Results Log'!$C$5:$C$404,"Drinking",'Results Log'!$Q$5:$Q$404,"TP")</f>
        <v/>
      </c>
      <c r="C43" s="49">
        <f>COUNTIFS('Results Log'!$G$5:$G$404,"Main",'Results Log'!$C$5:$C$404,"Drinking",'Results Log'!$Q$5:$Q$404,"TP",'Results Log'!$M$5:$M$404,"Likely")</f>
        <v/>
      </c>
      <c r="D43" s="49">
        <f>COUNTIFS('Results Log'!$G$5:$G$404,"Main",'Results Log'!$C$5:$C$404,"Drinking",'Results Log'!$Q$5:$Q$404,"TP",'Results Log'!$M$5:$M$404,"Possible")</f>
        <v/>
      </c>
      <c r="E43" s="49">
        <f>COUNTIFS('Results Log'!$G$5:$G$404,"Main",'Results Log'!$C$5:$C$404,"Drinking",'Results Log'!$Q$5:$Q$404,"TP",'Results Log'!$M$5:$M$404,"Monitoring")</f>
        <v/>
      </c>
      <c r="F43" s="57">
        <f>IFERROR(C43/B43,"–")</f>
        <v/>
      </c>
    </row>
    <row r="44" ht="15" customHeight="1" s="35">
      <c r="A44" s="56" t="inlineStr">
        <is>
          <t>Parking Obstruction</t>
        </is>
      </c>
      <c r="B44" s="49">
        <f>COUNTIFS('Results Log'!$G$5:$G$404,"Main",'Results Log'!$C$5:$C$404,"Parking Obstruction",'Results Log'!$Q$5:$Q$404,"TP")</f>
        <v/>
      </c>
      <c r="C44" s="49">
        <f>COUNTIFS('Results Log'!$G$5:$G$404,"Main",'Results Log'!$C$5:$C$404,"Parking Obstruction",'Results Log'!$Q$5:$Q$404,"TP",'Results Log'!$M$5:$M$404,"Likely")</f>
        <v/>
      </c>
      <c r="D44" s="49">
        <f>COUNTIFS('Results Log'!$G$5:$G$404,"Main",'Results Log'!$C$5:$C$404,"Parking Obstruction",'Results Log'!$Q$5:$Q$404,"TP",'Results Log'!$M$5:$M$404,"Possible")</f>
        <v/>
      </c>
      <c r="E44" s="49">
        <f>COUNTIFS('Results Log'!$G$5:$G$404,"Main",'Results Log'!$C$5:$C$404,"Parking Obstruction",'Results Log'!$Q$5:$Q$404,"TP",'Results Log'!$M$5:$M$404,"Monitoring")</f>
        <v/>
      </c>
      <c r="F44" s="57">
        <f>IFERROR(C44/B44,"–")</f>
        <v/>
      </c>
    </row>
    <row r="45" ht="15" customHeight="1" s="35">
      <c r="A45" s="56" t="inlineStr">
        <is>
          <t>Holdup</t>
        </is>
      </c>
      <c r="B45" s="49">
        <f>COUNTIFS('Results Log'!$G$5:$G$404,"Main",'Results Log'!$C$5:$C$404,"Holdup",'Results Log'!$Q$5:$Q$404,"TP")</f>
        <v/>
      </c>
      <c r="C45" s="49">
        <f>COUNTIFS('Results Log'!$G$5:$G$404,"Main",'Results Log'!$C$5:$C$404,"Holdup",'Results Log'!$Q$5:$Q$404,"TP",'Results Log'!$M$5:$M$404,"Likely")</f>
        <v/>
      </c>
      <c r="D45" s="49">
        <f>COUNTIFS('Results Log'!$G$5:$G$404,"Main",'Results Log'!$C$5:$C$404,"Holdup",'Results Log'!$Q$5:$Q$404,"TP",'Results Log'!$M$5:$M$404,"Possible")</f>
        <v/>
      </c>
      <c r="E45" s="49">
        <f>COUNTIFS('Results Log'!$G$5:$G$404,"Main",'Results Log'!$C$5:$C$404,"Holdup",'Results Log'!$Q$5:$Q$404,"TP",'Results Log'!$M$5:$M$404,"Monitoring")</f>
        <v/>
      </c>
      <c r="F45" s="57">
        <f>IFERROR(C45/B45,"–")</f>
        <v/>
      </c>
    </row>
    <row r="47" ht="15" customHeight="1" s="35">
      <c r="A47" s="63" t="inlineStr">
        <is>
          <t>4. AI checker agreement</t>
        </is>
      </c>
    </row>
    <row r="48" ht="30" customHeight="1" s="35">
      <c r="A48" s="45" t="inlineStr">
        <is>
          <t>Violation</t>
        </is>
      </c>
      <c r="B48" s="45" t="inlineStr">
        <is>
          <t>TP: AI agrees</t>
        </is>
      </c>
      <c r="C48" s="45" t="inlineStr">
        <is>
          <t>TP: AI disagrees</t>
        </is>
      </c>
      <c r="D48" s="45" t="inlineStr">
        <is>
          <t>TP: not run</t>
        </is>
      </c>
      <c r="E48" s="45" t="inlineStr">
        <is>
          <t>FP: AI agrees</t>
        </is>
      </c>
      <c r="F48" s="45" t="inlineStr">
        <is>
          <t>FP: AI disagrees</t>
        </is>
      </c>
      <c r="G48" s="45" t="inlineStr">
        <is>
          <t>FP: not run</t>
        </is>
      </c>
      <c r="H48" s="45" t="inlineStr">
        <is>
          <t>Confirms real</t>
        </is>
      </c>
      <c r="I48" s="45" t="inlineStr">
        <is>
          <t>Rejects false</t>
        </is>
      </c>
    </row>
    <row r="49" ht="15" customHeight="1" s="35">
      <c r="A49" s="56" t="inlineStr">
        <is>
          <t>Smoking</t>
        </is>
      </c>
      <c r="B49" s="49">
        <f>COUNTIFS('Results Log'!$G$5:$G$404,"Main",'Results Log'!$C$5:$C$404,"Smoking",'Results Log'!$Q$5:$Q$404,"TP",'Results Log'!$O$5:$O$404,"Agrees")</f>
        <v/>
      </c>
      <c r="C49" s="49">
        <f>COUNTIFS('Results Log'!$G$5:$G$404,"Main",'Results Log'!$C$5:$C$404,"Smoking",'Results Log'!$Q$5:$Q$404,"TP",'Results Log'!$O$5:$O$404,"Disagrees")</f>
        <v/>
      </c>
      <c r="D49" s="49">
        <f>COUNTIFS('Results Log'!$G$5:$G$404,"Main",'Results Log'!$C$5:$C$404,"Smoking",'Results Log'!$Q$5:$Q$404,"TP",'Results Log'!$O$5:$O$404,"Not run")</f>
        <v/>
      </c>
      <c r="E49" s="49">
        <f>COUNTIFS('Results Log'!$G$5:$G$404,"Main",'Results Log'!$C$5:$C$404,"Smoking",'Results Log'!$Q$5:$Q$404,"FP",'Results Log'!$O$5:$O$404,"Agrees")</f>
        <v/>
      </c>
      <c r="F49" s="49">
        <f>COUNTIFS('Results Log'!$G$5:$G$404,"Main",'Results Log'!$C$5:$C$404,"Smoking",'Results Log'!$Q$5:$Q$404,"FP",'Results Log'!$O$5:$O$404,"Disagrees")</f>
        <v/>
      </c>
      <c r="G49" s="49">
        <f>COUNTIFS('Results Log'!$G$5:$G$404,"Main",'Results Log'!$C$5:$C$404,"Smoking",'Results Log'!$Q$5:$Q$404,"FP",'Results Log'!$O$5:$O$404,"Not run")</f>
        <v/>
      </c>
      <c r="H49" s="57">
        <f>IFERROR(B49/(B49+C49),"–")</f>
        <v/>
      </c>
      <c r="I49" s="57">
        <f>IFERROR(F49/(E49+F49),"–")</f>
        <v/>
      </c>
    </row>
    <row r="50" ht="15" customHeight="1" s="35">
      <c r="A50" s="56" t="inlineStr">
        <is>
          <t>Drinking</t>
        </is>
      </c>
      <c r="B50" s="49">
        <f>COUNTIFS('Results Log'!$G$5:$G$404,"Main",'Results Log'!$C$5:$C$404,"Drinking",'Results Log'!$Q$5:$Q$404,"TP",'Results Log'!$O$5:$O$404,"Agrees")</f>
        <v/>
      </c>
      <c r="C50" s="49">
        <f>COUNTIFS('Results Log'!$G$5:$G$404,"Main",'Results Log'!$C$5:$C$404,"Drinking",'Results Log'!$Q$5:$Q$404,"TP",'Results Log'!$O$5:$O$404,"Disagrees")</f>
        <v/>
      </c>
      <c r="D50" s="49">
        <f>COUNTIFS('Results Log'!$G$5:$G$404,"Main",'Results Log'!$C$5:$C$404,"Drinking",'Results Log'!$Q$5:$Q$404,"TP",'Results Log'!$O$5:$O$404,"Not run")</f>
        <v/>
      </c>
      <c r="E50" s="49">
        <f>COUNTIFS('Results Log'!$G$5:$G$404,"Main",'Results Log'!$C$5:$C$404,"Drinking",'Results Log'!$Q$5:$Q$404,"FP",'Results Log'!$O$5:$O$404,"Agrees")</f>
        <v/>
      </c>
      <c r="F50" s="49">
        <f>COUNTIFS('Results Log'!$G$5:$G$404,"Main",'Results Log'!$C$5:$C$404,"Drinking",'Results Log'!$Q$5:$Q$404,"FP",'Results Log'!$O$5:$O$404,"Disagrees")</f>
        <v/>
      </c>
      <c r="G50" s="49">
        <f>COUNTIFS('Results Log'!$G$5:$G$404,"Main",'Results Log'!$C$5:$C$404,"Drinking",'Results Log'!$Q$5:$Q$404,"FP",'Results Log'!$O$5:$O$404,"Not run")</f>
        <v/>
      </c>
      <c r="H50" s="57">
        <f>IFERROR(B50/(B50+C50),"–")</f>
        <v/>
      </c>
      <c r="I50" s="57">
        <f>IFERROR(F50/(E50+F50),"–")</f>
        <v/>
      </c>
    </row>
    <row r="51" ht="15" customHeight="1" s="35">
      <c r="A51" s="56" t="inlineStr">
        <is>
          <t>Parking Obstruction</t>
        </is>
      </c>
      <c r="B51" s="49">
        <f>COUNTIFS('Results Log'!$G$5:$G$404,"Main",'Results Log'!$C$5:$C$404,"Parking Obstruction",'Results Log'!$Q$5:$Q$404,"TP",'Results Log'!$O$5:$O$404,"Agrees")</f>
        <v/>
      </c>
      <c r="C51" s="49">
        <f>COUNTIFS('Results Log'!$G$5:$G$404,"Main",'Results Log'!$C$5:$C$404,"Parking Obstruction",'Results Log'!$Q$5:$Q$404,"TP",'Results Log'!$O$5:$O$404,"Disagrees")</f>
        <v/>
      </c>
      <c r="D51" s="49">
        <f>COUNTIFS('Results Log'!$G$5:$G$404,"Main",'Results Log'!$C$5:$C$404,"Parking Obstruction",'Results Log'!$Q$5:$Q$404,"TP",'Results Log'!$O$5:$O$404,"Not run")</f>
        <v/>
      </c>
      <c r="E51" s="49">
        <f>COUNTIFS('Results Log'!$G$5:$G$404,"Main",'Results Log'!$C$5:$C$404,"Parking Obstruction",'Results Log'!$Q$5:$Q$404,"FP",'Results Log'!$O$5:$O$404,"Agrees")</f>
        <v/>
      </c>
      <c r="F51" s="49">
        <f>COUNTIFS('Results Log'!$G$5:$G$404,"Main",'Results Log'!$C$5:$C$404,"Parking Obstruction",'Results Log'!$Q$5:$Q$404,"FP",'Results Log'!$O$5:$O$404,"Disagrees")</f>
        <v/>
      </c>
      <c r="G51" s="49">
        <f>COUNTIFS('Results Log'!$G$5:$G$404,"Main",'Results Log'!$C$5:$C$404,"Parking Obstruction",'Results Log'!$Q$5:$Q$404,"FP",'Results Log'!$O$5:$O$404,"Not run")</f>
        <v/>
      </c>
      <c r="H51" s="57">
        <f>IFERROR(B51/(B51+C51),"–")</f>
        <v/>
      </c>
      <c r="I51" s="57">
        <f>IFERROR(F51/(E51+F51),"–")</f>
        <v/>
      </c>
    </row>
    <row r="52" ht="15" customHeight="1" s="35">
      <c r="A52" s="56" t="inlineStr">
        <is>
          <t>Holdup</t>
        </is>
      </c>
      <c r="B52" s="49">
        <f>COUNTIFS('Results Log'!$G$5:$G$404,"Main",'Results Log'!$C$5:$C$404,"Holdup",'Results Log'!$Q$5:$Q$404,"TP",'Results Log'!$O$5:$O$404,"Agrees")</f>
        <v/>
      </c>
      <c r="C52" s="49">
        <f>COUNTIFS('Results Log'!$G$5:$G$404,"Main",'Results Log'!$C$5:$C$404,"Holdup",'Results Log'!$Q$5:$Q$404,"TP",'Results Log'!$O$5:$O$404,"Disagrees")</f>
        <v/>
      </c>
      <c r="D52" s="49">
        <f>COUNTIFS('Results Log'!$G$5:$G$404,"Main",'Results Log'!$C$5:$C$404,"Holdup",'Results Log'!$Q$5:$Q$404,"TP",'Results Log'!$O$5:$O$404,"Not run")</f>
        <v/>
      </c>
      <c r="E52" s="49">
        <f>COUNTIFS('Results Log'!$G$5:$G$404,"Main",'Results Log'!$C$5:$C$404,"Holdup",'Results Log'!$Q$5:$Q$404,"FP",'Results Log'!$O$5:$O$404,"Agrees")</f>
        <v/>
      </c>
      <c r="F52" s="49">
        <f>COUNTIFS('Results Log'!$G$5:$G$404,"Main",'Results Log'!$C$5:$C$404,"Holdup",'Results Log'!$Q$5:$Q$404,"FP",'Results Log'!$O$5:$O$404,"Disagrees")</f>
        <v/>
      </c>
      <c r="G52" s="49">
        <f>COUNTIFS('Results Log'!$G$5:$G$404,"Main",'Results Log'!$C$5:$C$404,"Holdup",'Results Log'!$Q$5:$Q$404,"FP",'Results Log'!$O$5:$O$404,"Not run")</f>
        <v/>
      </c>
      <c r="H52" s="57">
        <f>IFERROR(B52/(B52+C52),"–")</f>
        <v/>
      </c>
      <c r="I52" s="57">
        <f>IFERROR(F52/(E52+F52),"–")</f>
        <v/>
      </c>
    </row>
    <row r="53" ht="15" customHeight="1" s="35">
      <c r="A53" s="66" t="inlineStr">
        <is>
          <t>Confirms real = share of correct alerts the AI agreed with. Rejects false = share of false alarms the AI disagreed with.</t>
        </is>
      </c>
    </row>
    <row r="55" ht="15" customHeight="1" s="35">
      <c r="A55" s="63" t="inlineStr">
        <is>
          <t>5. Alert delay on correct detections (seconds, after any waiting time)</t>
        </is>
      </c>
    </row>
    <row r="56" ht="30" customHeight="1" s="35">
      <c r="A56" s="45" t="inlineStr">
        <is>
          <t>Violation</t>
        </is>
      </c>
      <c r="B56" s="45" t="inlineStr">
        <is>
          <t>TP</t>
        </is>
      </c>
      <c r="C56" s="45" t="inlineStr">
        <is>
          <t>Average</t>
        </is>
      </c>
      <c r="D56" s="45" t="inlineStr">
        <is>
          <t>Fastest</t>
        </is>
      </c>
      <c r="E56" s="45" t="inlineStr">
        <is>
          <t>Slowest</t>
        </is>
      </c>
    </row>
    <row r="57" ht="15" customHeight="1" s="35">
      <c r="A57" s="56" t="inlineStr">
        <is>
          <t>Smoking</t>
        </is>
      </c>
      <c r="B57" s="49">
        <f>COUNTIFS('Results Log'!$G$5:$G$404,"Main",'Results Log'!$C$5:$C$404,"Smoking",'Results Log'!$Q$5:$Q$404,"TP")</f>
        <v/>
      </c>
      <c r="C57" s="54">
        <f>IFERROR(AVERAGEIFS('Results Log'!$N$5:$N$404,'Results Log'!$G$5:$G$404,"Main",'Results Log'!$C$5:$C$404,"Smoking",'Results Log'!$Q$5:$Q$404,"TP"),"–")</f>
        <v/>
      </c>
      <c r="D57" s="54">
        <f>IF(B57=0,"–",_xlfn.MINIFS('Results Log'!$N$5:$N$404,'Results Log'!$G$5:$G$404,"Main",'Results Log'!$C$5:$C$404,"Smoking",'Results Log'!$Q$5:$Q$404,"TP"))</f>
        <v/>
      </c>
      <c r="E57" s="54">
        <f>IF(B57=0,"–",_xlfn.MAXIFS('Results Log'!$N$5:$N$404,'Results Log'!$G$5:$G$404,"Main",'Results Log'!$C$5:$C$404,"Smoking",'Results Log'!$Q$5:$Q$404,"TP"))</f>
        <v/>
      </c>
    </row>
    <row r="58" ht="15" customHeight="1" s="35">
      <c r="A58" s="56" t="inlineStr">
        <is>
          <t>Drinking</t>
        </is>
      </c>
      <c r="B58" s="49">
        <f>COUNTIFS('Results Log'!$G$5:$G$404,"Main",'Results Log'!$C$5:$C$404,"Drinking",'Results Log'!$Q$5:$Q$404,"TP")</f>
        <v/>
      </c>
      <c r="C58" s="54">
        <f>IFERROR(AVERAGEIFS('Results Log'!$N$5:$N$404,'Results Log'!$G$5:$G$404,"Main",'Results Log'!$C$5:$C$404,"Drinking",'Results Log'!$Q$5:$Q$404,"TP"),"–")</f>
        <v/>
      </c>
      <c r="D58" s="54">
        <f>IF(B58=0,"–",_xlfn.MINIFS('Results Log'!$N$5:$N$404,'Results Log'!$G$5:$G$404,"Main",'Results Log'!$C$5:$C$404,"Drinking",'Results Log'!$Q$5:$Q$404,"TP"))</f>
        <v/>
      </c>
      <c r="E58" s="54">
        <f>IF(B58=0,"–",_xlfn.MAXIFS('Results Log'!$N$5:$N$404,'Results Log'!$G$5:$G$404,"Main",'Results Log'!$C$5:$C$404,"Drinking",'Results Log'!$Q$5:$Q$404,"TP"))</f>
        <v/>
      </c>
    </row>
    <row r="59" ht="15" customHeight="1" s="35">
      <c r="A59" s="56" t="inlineStr">
        <is>
          <t>Parking Obstruction</t>
        </is>
      </c>
      <c r="B59" s="49">
        <f>COUNTIFS('Results Log'!$G$5:$G$404,"Main",'Results Log'!$C$5:$C$404,"Parking Obstruction",'Results Log'!$Q$5:$Q$404,"TP")</f>
        <v/>
      </c>
      <c r="C59" s="54">
        <f>IFERROR(AVERAGEIFS('Results Log'!$N$5:$N$404,'Results Log'!$G$5:$G$404,"Main",'Results Log'!$C$5:$C$404,"Parking Obstruction",'Results Log'!$Q$5:$Q$404,"TP"),"–")</f>
        <v/>
      </c>
      <c r="D59" s="54">
        <f>IF(B59=0,"–",_xlfn.MINIFS('Results Log'!$N$5:$N$404,'Results Log'!$G$5:$G$404,"Main",'Results Log'!$C$5:$C$404,"Parking Obstruction",'Results Log'!$Q$5:$Q$404,"TP"))</f>
        <v/>
      </c>
      <c r="E59" s="54">
        <f>IF(B59=0,"–",_xlfn.MAXIFS('Results Log'!$N$5:$N$404,'Results Log'!$G$5:$G$404,"Main",'Results Log'!$C$5:$C$404,"Parking Obstruction",'Results Log'!$Q$5:$Q$404,"TP"))</f>
        <v/>
      </c>
    </row>
    <row r="60" ht="15" customHeight="1" s="35">
      <c r="A60" s="56" t="inlineStr">
        <is>
          <t>Holdup</t>
        </is>
      </c>
      <c r="B60" s="49">
        <f>COUNTIFS('Results Log'!$G$5:$G$404,"Main",'Results Log'!$C$5:$C$404,"Holdup",'Results Log'!$Q$5:$Q$404,"TP")</f>
        <v/>
      </c>
      <c r="C60" s="54">
        <f>IFERROR(AVERAGEIFS('Results Log'!$N$5:$N$404,'Results Log'!$G$5:$G$404,"Main",'Results Log'!$C$5:$C$404,"Holdup",'Results Log'!$Q$5:$Q$404,"TP"),"–")</f>
        <v/>
      </c>
      <c r="D60" s="54">
        <f>IF(B60=0,"–",_xlfn.MINIFS('Results Log'!$N$5:$N$404,'Results Log'!$G$5:$G$404,"Main",'Results Log'!$C$5:$C$404,"Holdup",'Results Log'!$Q$5:$Q$404,"TP"))</f>
        <v/>
      </c>
      <c r="E60" s="54">
        <f>IF(B60=0,"–",_xlfn.MAXIFS('Results Log'!$N$5:$N$404,'Results Log'!$G$5:$G$404,"Main",'Results Log'!$C$5:$C$404,"Holdup",'Results Log'!$Q$5:$Q$404,"TP"))</f>
        <v/>
      </c>
    </row>
    <row r="62" ht="15" customHeight="1" s="35">
      <c r="A62" s="63" t="inlineStr">
        <is>
          <t>6. Unmatched alerts by tag</t>
        </is>
      </c>
    </row>
    <row r="63" ht="30" customHeight="1" s="35">
      <c r="A63" s="45" t="inlineStr">
        <is>
          <t>Alert type</t>
        </is>
      </c>
      <c r="B63" s="45" t="inlineStr">
        <is>
          <t>Duplicate</t>
        </is>
      </c>
      <c r="C63" s="45" t="inlineStr">
        <is>
          <t>False alarm</t>
        </is>
      </c>
      <c r="D63" s="45" t="inlineStr">
        <is>
          <t>Unscripted – false alarm</t>
        </is>
      </c>
      <c r="E63" s="45" t="inlineStr">
        <is>
          <t>Unscripted – real violation</t>
        </is>
      </c>
      <c r="F63" s="45" t="inlineStr">
        <is>
          <t>Late (real act)</t>
        </is>
      </c>
      <c r="G63" s="45" t="inlineStr">
        <is>
          <t>Total</t>
        </is>
      </c>
    </row>
    <row r="64" ht="15" customHeight="1" s="35">
      <c r="A64" s="56" t="inlineStr">
        <is>
          <t>Smoking</t>
        </is>
      </c>
      <c r="B64" s="49">
        <f>COUNTIFS('Results Log'!$G$5:$G$404,"Main",'Results Log'!$B$5:$B$404,"Unmatched alert",'Results Log'!$C$5:$C$404,"Smoking",'Results Log'!$P$5:$P$404,"Duplicate")</f>
        <v/>
      </c>
      <c r="C64" s="49">
        <f>COUNTIFS('Results Log'!$G$5:$G$404,"Main",'Results Log'!$B$5:$B$404,"Unmatched alert",'Results Log'!$C$5:$C$404,"Smoking",'Results Log'!$P$5:$P$404,"False alarm")</f>
        <v/>
      </c>
      <c r="D64" s="49">
        <f>COUNTIFS('Results Log'!$G$5:$G$404,"Main",'Results Log'!$B$5:$B$404,"Unmatched alert",'Results Log'!$C$5:$C$404,"Smoking",'Results Log'!$P$5:$P$404,"Unscripted – false alarm")</f>
        <v/>
      </c>
      <c r="E64" s="49">
        <f>COUNTIFS('Results Log'!$G$5:$G$404,"Main",'Results Log'!$B$5:$B$404,"Unmatched alert",'Results Log'!$C$5:$C$404,"Smoking",'Results Log'!$P$5:$P$404,"Unscripted – real violation")</f>
        <v/>
      </c>
      <c r="F64" s="49">
        <f>COUNTIFS('Results Log'!$G$5:$G$404,"Main",'Results Log'!$B$5:$B$404,"Unmatched alert",'Results Log'!$C$5:$C$404,"Smoking",'Results Log'!$P$5:$P$404,"Late (real act)")</f>
        <v/>
      </c>
      <c r="G64" s="55">
        <f>SUM(B64:F64)</f>
        <v/>
      </c>
    </row>
    <row r="65" ht="15" customHeight="1" s="35">
      <c r="A65" s="56" t="inlineStr">
        <is>
          <t>Drinking</t>
        </is>
      </c>
      <c r="B65" s="49">
        <f>COUNTIFS('Results Log'!$G$5:$G$404,"Main",'Results Log'!$B$5:$B$404,"Unmatched alert",'Results Log'!$C$5:$C$404,"Drinking",'Results Log'!$P$5:$P$404,"Duplicate")</f>
        <v/>
      </c>
      <c r="C65" s="49">
        <f>COUNTIFS('Results Log'!$G$5:$G$404,"Main",'Results Log'!$B$5:$B$404,"Unmatched alert",'Results Log'!$C$5:$C$404,"Drinking",'Results Log'!$P$5:$P$404,"False alarm")</f>
        <v/>
      </c>
      <c r="D65" s="49">
        <f>COUNTIFS('Results Log'!$G$5:$G$404,"Main",'Results Log'!$B$5:$B$404,"Unmatched alert",'Results Log'!$C$5:$C$404,"Drinking",'Results Log'!$P$5:$P$404,"Unscripted – false alarm")</f>
        <v/>
      </c>
      <c r="E65" s="49">
        <f>COUNTIFS('Results Log'!$G$5:$G$404,"Main",'Results Log'!$B$5:$B$404,"Unmatched alert",'Results Log'!$C$5:$C$404,"Drinking",'Results Log'!$P$5:$P$404,"Unscripted – real violation")</f>
        <v/>
      </c>
      <c r="F65" s="49">
        <f>COUNTIFS('Results Log'!$G$5:$G$404,"Main",'Results Log'!$B$5:$B$404,"Unmatched alert",'Results Log'!$C$5:$C$404,"Drinking",'Results Log'!$P$5:$P$404,"Late (real act)")</f>
        <v/>
      </c>
      <c r="G65" s="55">
        <f>SUM(B65:F65)</f>
        <v/>
      </c>
    </row>
    <row r="66" ht="15" customHeight="1" s="35">
      <c r="A66" s="56" t="inlineStr">
        <is>
          <t>Parking Obstruction</t>
        </is>
      </c>
      <c r="B66" s="49">
        <f>COUNTIFS('Results Log'!$G$5:$G$404,"Main",'Results Log'!$B$5:$B$404,"Unmatched alert",'Results Log'!$C$5:$C$404,"Parking Obstruction",'Results Log'!$P$5:$P$404,"Duplicate")</f>
        <v/>
      </c>
      <c r="C66" s="49">
        <f>COUNTIFS('Results Log'!$G$5:$G$404,"Main",'Results Log'!$B$5:$B$404,"Unmatched alert",'Results Log'!$C$5:$C$404,"Parking Obstruction",'Results Log'!$P$5:$P$404,"False alarm")</f>
        <v/>
      </c>
      <c r="D66" s="49">
        <f>COUNTIFS('Results Log'!$G$5:$G$404,"Main",'Results Log'!$B$5:$B$404,"Unmatched alert",'Results Log'!$C$5:$C$404,"Parking Obstruction",'Results Log'!$P$5:$P$404,"Unscripted – false alarm")</f>
        <v/>
      </c>
      <c r="E66" s="49">
        <f>COUNTIFS('Results Log'!$G$5:$G$404,"Main",'Results Log'!$B$5:$B$404,"Unmatched alert",'Results Log'!$C$5:$C$404,"Parking Obstruction",'Results Log'!$P$5:$P$404,"Unscripted – real violation")</f>
        <v/>
      </c>
      <c r="F66" s="49">
        <f>COUNTIFS('Results Log'!$G$5:$G$404,"Main",'Results Log'!$B$5:$B$404,"Unmatched alert",'Results Log'!$C$5:$C$404,"Parking Obstruction",'Results Log'!$P$5:$P$404,"Late (real act)")</f>
        <v/>
      </c>
      <c r="G66" s="55">
        <f>SUM(B66:F66)</f>
        <v/>
      </c>
    </row>
    <row r="67" ht="15" customHeight="1" s="35">
      <c r="A67" s="56" t="inlineStr">
        <is>
          <t>Holdup</t>
        </is>
      </c>
      <c r="B67" s="49">
        <f>COUNTIFS('Results Log'!$G$5:$G$404,"Main",'Results Log'!$B$5:$B$404,"Unmatched alert",'Results Log'!$C$5:$C$404,"Holdup",'Results Log'!$P$5:$P$404,"Duplicate")</f>
        <v/>
      </c>
      <c r="C67" s="49">
        <f>COUNTIFS('Results Log'!$G$5:$G$404,"Main",'Results Log'!$B$5:$B$404,"Unmatched alert",'Results Log'!$C$5:$C$404,"Holdup",'Results Log'!$P$5:$P$404,"False alarm")</f>
        <v/>
      </c>
      <c r="D67" s="49">
        <f>COUNTIFS('Results Log'!$G$5:$G$404,"Main",'Results Log'!$B$5:$B$404,"Unmatched alert",'Results Log'!$C$5:$C$404,"Holdup",'Results Log'!$P$5:$P$404,"Unscripted – false alarm")</f>
        <v/>
      </c>
      <c r="E67" s="49">
        <f>COUNTIFS('Results Log'!$G$5:$G$404,"Main",'Results Log'!$B$5:$B$404,"Unmatched alert",'Results Log'!$C$5:$C$404,"Holdup",'Results Log'!$P$5:$P$404,"Unscripted – real violation")</f>
        <v/>
      </c>
      <c r="F67" s="49">
        <f>COUNTIFS('Results Log'!$G$5:$G$404,"Main",'Results Log'!$B$5:$B$404,"Unmatched alert",'Results Log'!$C$5:$C$404,"Holdup",'Results Log'!$P$5:$P$404,"Late (real act)")</f>
        <v/>
      </c>
      <c r="G67" s="55">
        <f>SUM(B67:F67)</f>
        <v/>
      </c>
    </row>
    <row r="69" ht="15" customHeight="1" s="35">
      <c r="A69" s="63" t="inlineStr">
        <is>
          <t>7. Processing speed</t>
        </is>
      </c>
    </row>
    <row r="70" ht="30" customHeight="1" s="35">
      <c r="A70" s="45" t="inlineStr">
        <is>
          <t>Measure</t>
        </is>
      </c>
      <c r="B70" s="45" t="inlineStr">
        <is>
          <t>Value</t>
        </is>
      </c>
    </row>
    <row r="71" ht="15" customHeight="1" s="35">
      <c r="A71" s="56" t="inlineStr">
        <is>
          <t>Average FPS (done clips)</t>
        </is>
      </c>
      <c r="B71" s="54">
        <f>IFERROR(AVERAGEIFS(Clips!$P$5:$P$154,Clips!$L$5:$L$154,"Done"),"–")</f>
        <v/>
      </c>
    </row>
    <row r="72" ht="15" customHeight="1" s="35">
      <c r="A72" s="56" t="inlineStr">
        <is>
          <t>Slowest FPS</t>
        </is>
      </c>
      <c r="B72" s="54">
        <f>IF(COUNTIF(Clips!$L$5:$L$154,"Done")=0,"–",_xlfn.MINIFS(Clips!$P$5:$P$154,Clips!$L$5:$L$154,"Done"))</f>
        <v/>
      </c>
    </row>
    <row r="73" ht="15" customHeight="1" s="35">
      <c r="A73" s="56" t="inlineStr">
        <is>
          <t>Average processing time / clip (s)</t>
        </is>
      </c>
      <c r="B73" s="53">
        <f>IFERROR(AVERAGEIFS(Clips!$Q$5:$Q$154,Clips!$L$5:$L$154,"Done"),"–")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4" min="1" max="1"/>
    <col width="16" customWidth="1" style="34" min="2" max="7"/>
  </cols>
  <sheetData>
    <row r="1" ht="19.7" customHeight="1" s="35">
      <c r="A1" s="36" t="inlineStr">
        <is>
          <t>Confusion Matrix — real acts vs what the system alerted (Main set)</t>
        </is>
      </c>
    </row>
    <row r="2" ht="15" customHeight="1" s="35">
      <c r="A2" s="37" t="inlineStr">
        <is>
          <t>Rows = real violation in the answer key. Columns = what the system alerted for that act. Green = correct. 'None' = missed with no other alert.</t>
        </is>
      </c>
    </row>
    <row r="4" ht="30" customHeight="1" s="35">
      <c r="A4" s="45" t="inlineStr">
        <is>
          <t>Actual \ Alerted</t>
        </is>
      </c>
      <c r="B4" s="45" t="inlineStr">
        <is>
          <t>Smoking</t>
        </is>
      </c>
      <c r="C4" s="45" t="inlineStr">
        <is>
          <t>Drinking</t>
        </is>
      </c>
      <c r="D4" s="45" t="inlineStr">
        <is>
          <t>Parking Obstruction</t>
        </is>
      </c>
      <c r="E4" s="45" t="inlineStr">
        <is>
          <t>Holdup</t>
        </is>
      </c>
      <c r="F4" s="45" t="inlineStr">
        <is>
          <t>None</t>
        </is>
      </c>
      <c r="G4" s="45" t="inlineStr">
        <is>
          <t>Total</t>
        </is>
      </c>
    </row>
    <row r="5" ht="15" customHeight="1" s="35">
      <c r="A5" s="41" t="inlineStr">
        <is>
          <t>Smoking</t>
        </is>
      </c>
      <c r="B5" s="67">
        <f>COUNTIFS('Results Log'!$G$5:$G$404,"Main",'Results Log'!$B$5:$B$404,"Expected",'Results Log'!$D$5:$D$404,"Violation",'Results Log'!$C$5:$C$404,"Smoking",'Results Log'!$Q$5:$Q$404,"TP")</f>
        <v/>
      </c>
      <c r="C5" s="49">
        <f>COUNTIFS('Results Log'!$G$5:$G$404,"Main",'Results Log'!$B$5:$B$404,"Expected",'Results Log'!$D$5:$D$404,"Violation",'Results Log'!$C$5:$C$404,"Smoking",'Results Log'!$Q$5:$Q$404,"FN",'Results Log'!$R$5:$R$404,"Drinking")</f>
        <v/>
      </c>
      <c r="D5" s="49">
        <f>COUNTIFS('Results Log'!$G$5:$G$404,"Main",'Results Log'!$B$5:$B$404,"Expected",'Results Log'!$D$5:$D$404,"Violation",'Results Log'!$C$5:$C$404,"Smoking",'Results Log'!$Q$5:$Q$404,"FN",'Results Log'!$R$5:$R$404,"Parking Obstruction")</f>
        <v/>
      </c>
      <c r="E5" s="49">
        <f>COUNTIFS('Results Log'!$G$5:$G$404,"Main",'Results Log'!$B$5:$B$404,"Expected",'Results Log'!$D$5:$D$404,"Violation",'Results Log'!$C$5:$C$404,"Smoking",'Results Log'!$Q$5:$Q$404,"FN",'Results Log'!$R$5:$R$404,"Holdup")</f>
        <v/>
      </c>
      <c r="F5" s="49">
        <f>COUNTIFS('Results Log'!$G$5:$G$404,"Main",'Results Log'!$B$5:$B$404,"Expected",'Results Log'!$D$5:$D$404,"Violation",'Results Log'!$C$5:$C$404,"Smoking",'Results Log'!$Q$5:$Q$404,"FN",'Results Log'!$R$5:$R$404,"")+COUNTIFS('Results Log'!$G$5:$G$404,"Main",'Results Log'!$B$5:$B$404,"Expected",'Results Log'!$D$5:$D$404,"Violation",'Results Log'!$C$5:$C$404,"Smoking",'Results Log'!$Q$5:$Q$404,"FN",'Results Log'!$R$5:$R$404,"None")+COUNTIFS('Results Log'!$G$5:$G$404,"Main",'Results Log'!$B$5:$B$404,"Expected",'Results Log'!$D$5:$D$404,"Violation",'Results Log'!$C$5:$C$404,"Smoking",'Results Log'!$Q$5:$Q$404,"FN",'Results Log'!$R$5:$R$404,"Smoking")</f>
        <v/>
      </c>
      <c r="G5" s="55">
        <f>SUM(B5:F5)</f>
        <v/>
      </c>
    </row>
    <row r="6" ht="15" customHeight="1" s="35">
      <c r="A6" s="41" t="inlineStr">
        <is>
          <t>Drinking</t>
        </is>
      </c>
      <c r="B6" s="49">
        <f>COUNTIFS('Results Log'!$G$5:$G$404,"Main",'Results Log'!$B$5:$B$404,"Expected",'Results Log'!$D$5:$D$404,"Violation",'Results Log'!$C$5:$C$404,"Drinking",'Results Log'!$Q$5:$Q$404,"FN",'Results Log'!$R$5:$R$404,"Smoking")</f>
        <v/>
      </c>
      <c r="C6" s="67">
        <f>COUNTIFS('Results Log'!$G$5:$G$404,"Main",'Results Log'!$B$5:$B$404,"Expected",'Results Log'!$D$5:$D$404,"Violation",'Results Log'!$C$5:$C$404,"Drinking",'Results Log'!$Q$5:$Q$404,"TP")</f>
        <v/>
      </c>
      <c r="D6" s="49">
        <f>COUNTIFS('Results Log'!$G$5:$G$404,"Main",'Results Log'!$B$5:$B$404,"Expected",'Results Log'!$D$5:$D$404,"Violation",'Results Log'!$C$5:$C$404,"Drinking",'Results Log'!$Q$5:$Q$404,"FN",'Results Log'!$R$5:$R$404,"Parking Obstruction")</f>
        <v/>
      </c>
      <c r="E6" s="49">
        <f>COUNTIFS('Results Log'!$G$5:$G$404,"Main",'Results Log'!$B$5:$B$404,"Expected",'Results Log'!$D$5:$D$404,"Violation",'Results Log'!$C$5:$C$404,"Drinking",'Results Log'!$Q$5:$Q$404,"FN",'Results Log'!$R$5:$R$404,"Holdup")</f>
        <v/>
      </c>
      <c r="F6" s="49">
        <f>COUNTIFS('Results Log'!$G$5:$G$404,"Main",'Results Log'!$B$5:$B$404,"Expected",'Results Log'!$D$5:$D$404,"Violation",'Results Log'!$C$5:$C$404,"Drinking",'Results Log'!$Q$5:$Q$404,"FN",'Results Log'!$R$5:$R$404,"")+COUNTIFS('Results Log'!$G$5:$G$404,"Main",'Results Log'!$B$5:$B$404,"Expected",'Results Log'!$D$5:$D$404,"Violation",'Results Log'!$C$5:$C$404,"Drinking",'Results Log'!$Q$5:$Q$404,"FN",'Results Log'!$R$5:$R$404,"None")+COUNTIFS('Results Log'!$G$5:$G$404,"Main",'Results Log'!$B$5:$B$404,"Expected",'Results Log'!$D$5:$D$404,"Violation",'Results Log'!$C$5:$C$404,"Drinking",'Results Log'!$Q$5:$Q$404,"FN",'Results Log'!$R$5:$R$404,"Drinking")</f>
        <v/>
      </c>
      <c r="G6" s="55">
        <f>SUM(B6:F6)</f>
        <v/>
      </c>
    </row>
    <row r="7" ht="15" customHeight="1" s="35">
      <c r="A7" s="41" t="inlineStr">
        <is>
          <t>Parking Obstruction</t>
        </is>
      </c>
      <c r="B7" s="49">
        <f>COUNTIFS('Results Log'!$G$5:$G$404,"Main",'Results Log'!$B$5:$B$404,"Expected",'Results Log'!$D$5:$D$404,"Violation",'Results Log'!$C$5:$C$404,"Parking Obstruction",'Results Log'!$Q$5:$Q$404,"FN",'Results Log'!$R$5:$R$404,"Smoking")</f>
        <v/>
      </c>
      <c r="C7" s="49">
        <f>COUNTIFS('Results Log'!$G$5:$G$404,"Main",'Results Log'!$B$5:$B$404,"Expected",'Results Log'!$D$5:$D$404,"Violation",'Results Log'!$C$5:$C$404,"Parking Obstruction",'Results Log'!$Q$5:$Q$404,"FN",'Results Log'!$R$5:$R$404,"Drinking")</f>
        <v/>
      </c>
      <c r="D7" s="67">
        <f>COUNTIFS('Results Log'!$G$5:$G$404,"Main",'Results Log'!$B$5:$B$404,"Expected",'Results Log'!$D$5:$D$404,"Violation",'Results Log'!$C$5:$C$404,"Parking Obstruction",'Results Log'!$Q$5:$Q$404,"TP")</f>
        <v/>
      </c>
      <c r="E7" s="49">
        <f>COUNTIFS('Results Log'!$G$5:$G$404,"Main",'Results Log'!$B$5:$B$404,"Expected",'Results Log'!$D$5:$D$404,"Violation",'Results Log'!$C$5:$C$404,"Parking Obstruction",'Results Log'!$Q$5:$Q$404,"FN",'Results Log'!$R$5:$R$404,"Holdup")</f>
        <v/>
      </c>
      <c r="F7" s="49">
        <f>COUNTIFS('Results Log'!$G$5:$G$404,"Main",'Results Log'!$B$5:$B$404,"Expected",'Results Log'!$D$5:$D$404,"Violation",'Results Log'!$C$5:$C$404,"Parking Obstruction",'Results Log'!$Q$5:$Q$404,"FN",'Results Log'!$R$5:$R$404,"")+COUNTIFS('Results Log'!$G$5:$G$404,"Main",'Results Log'!$B$5:$B$404,"Expected",'Results Log'!$D$5:$D$404,"Violation",'Results Log'!$C$5:$C$404,"Parking Obstruction",'Results Log'!$Q$5:$Q$404,"FN",'Results Log'!$R$5:$R$404,"None")+COUNTIFS('Results Log'!$G$5:$G$404,"Main",'Results Log'!$B$5:$B$404,"Expected",'Results Log'!$D$5:$D$404,"Violation",'Results Log'!$C$5:$C$404,"Parking Obstruction",'Results Log'!$Q$5:$Q$404,"FN",'Results Log'!$R$5:$R$404,"Parking Obstruction")</f>
        <v/>
      </c>
      <c r="G7" s="55">
        <f>SUM(B7:F7)</f>
        <v/>
      </c>
    </row>
    <row r="8" ht="15" customHeight="1" s="35">
      <c r="A8" s="41" t="inlineStr">
        <is>
          <t>Holdup</t>
        </is>
      </c>
      <c r="B8" s="49">
        <f>COUNTIFS('Results Log'!$G$5:$G$404,"Main",'Results Log'!$B$5:$B$404,"Expected",'Results Log'!$D$5:$D$404,"Violation",'Results Log'!$C$5:$C$404,"Holdup",'Results Log'!$Q$5:$Q$404,"FN",'Results Log'!$R$5:$R$404,"Smoking")</f>
        <v/>
      </c>
      <c r="C8" s="49">
        <f>COUNTIFS('Results Log'!$G$5:$G$404,"Main",'Results Log'!$B$5:$B$404,"Expected",'Results Log'!$D$5:$D$404,"Violation",'Results Log'!$C$5:$C$404,"Holdup",'Results Log'!$Q$5:$Q$404,"FN",'Results Log'!$R$5:$R$404,"Drinking")</f>
        <v/>
      </c>
      <c r="D8" s="49">
        <f>COUNTIFS('Results Log'!$G$5:$G$404,"Main",'Results Log'!$B$5:$B$404,"Expected",'Results Log'!$D$5:$D$404,"Violation",'Results Log'!$C$5:$C$404,"Holdup",'Results Log'!$Q$5:$Q$404,"FN",'Results Log'!$R$5:$R$404,"Parking Obstruction")</f>
        <v/>
      </c>
      <c r="E8" s="67">
        <f>COUNTIFS('Results Log'!$G$5:$G$404,"Main",'Results Log'!$B$5:$B$404,"Expected",'Results Log'!$D$5:$D$404,"Violation",'Results Log'!$C$5:$C$404,"Holdup",'Results Log'!$Q$5:$Q$404,"TP")</f>
        <v/>
      </c>
      <c r="F8" s="49">
        <f>COUNTIFS('Results Log'!$G$5:$G$404,"Main",'Results Log'!$B$5:$B$404,"Expected",'Results Log'!$D$5:$D$404,"Violation",'Results Log'!$C$5:$C$404,"Holdup",'Results Log'!$Q$5:$Q$404,"FN",'Results Log'!$R$5:$R$404,"")+COUNTIFS('Results Log'!$G$5:$G$404,"Main",'Results Log'!$B$5:$B$404,"Expected",'Results Log'!$D$5:$D$404,"Violation",'Results Log'!$C$5:$C$404,"Holdup",'Results Log'!$Q$5:$Q$404,"FN",'Results Log'!$R$5:$R$404,"None")+COUNTIFS('Results Log'!$G$5:$G$404,"Main",'Results Log'!$B$5:$B$404,"Expected",'Results Log'!$D$5:$D$404,"Violation",'Results Log'!$C$5:$C$404,"Holdup",'Results Log'!$Q$5:$Q$404,"FN",'Results Log'!$R$5:$R$404,"Holdup")</f>
        <v/>
      </c>
      <c r="G8" s="55">
        <f>SUM(B8:F8)</f>
        <v/>
      </c>
    </row>
    <row r="10" ht="15" customHeight="1" s="35">
      <c r="A10" s="66" t="inlineStr">
        <is>
          <t>A missed act whose only alert was the right type but too late is counted under 'None' here and as 'Late' in Summary.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5">
      <c r="A1" s="34" t="inlineStr">
        <is>
          <t>Smoking</t>
        </is>
      </c>
      <c r="B1" s="34" t="inlineStr">
        <is>
          <t>None</t>
        </is>
      </c>
      <c r="C1" s="34" t="inlineStr">
        <is>
          <t>Violation</t>
        </is>
      </c>
      <c r="D1" s="34" t="inlineStr">
        <is>
          <t>Near</t>
        </is>
      </c>
      <c r="E1" s="34" t="inlineStr">
        <is>
          <t>Day</t>
        </is>
      </c>
      <c r="F1" s="34" t="inlineStr">
        <is>
          <t>Not recorded</t>
        </is>
      </c>
      <c r="G1" s="34" t="inlineStr">
        <is>
          <t>Not run</t>
        </is>
      </c>
      <c r="H1" s="34" t="inlineStr">
        <is>
          <t>Monitoring</t>
        </is>
      </c>
      <c r="I1" s="34" t="inlineStr">
        <is>
          <t>Agrees</t>
        </is>
      </c>
      <c r="J1" s="34" t="inlineStr">
        <is>
          <t>Distance / too small</t>
        </is>
      </c>
      <c r="K1" s="34" t="inlineStr">
        <is>
          <t>Yes</t>
        </is>
      </c>
      <c r="L1" s="34" t="inlineStr">
        <is>
          <t>TP</t>
        </is>
      </c>
      <c r="M1" s="34" t="inlineStr">
        <is>
          <t>Expected</t>
        </is>
      </c>
      <c r="N1" s="34" t="inlineStr">
        <is>
          <t>Duplicate</t>
        </is>
      </c>
      <c r="O1" s="34" t="inlineStr">
        <is>
          <t>Main</t>
        </is>
      </c>
    </row>
    <row r="2" ht="15" customHeight="1" s="35">
      <c r="A2" s="34" t="inlineStr">
        <is>
          <t>Drinking</t>
        </is>
      </c>
      <c r="B2" s="34" t="inlineStr">
        <is>
          <t>Smoking</t>
        </is>
      </c>
      <c r="C2" s="34" t="inlineStr">
        <is>
          <t>Look-alike</t>
        </is>
      </c>
      <c r="D2" s="34" t="inlineStr">
        <is>
          <t>Mid</t>
        </is>
      </c>
      <c r="E2" s="34" t="inlineStr">
        <is>
          <t>Afternoon</t>
        </is>
      </c>
      <c r="F2" s="34" t="inlineStr">
        <is>
          <t>Recorded</t>
        </is>
      </c>
      <c r="G2" s="34" t="inlineStr">
        <is>
          <t>Queued</t>
        </is>
      </c>
      <c r="H2" s="34" t="inlineStr">
        <is>
          <t>Possible</t>
        </is>
      </c>
      <c r="I2" s="34" t="inlineStr">
        <is>
          <t>Disagrees</t>
        </is>
      </c>
      <c r="J2" s="34" t="inlineStr">
        <is>
          <t>Occlusion</t>
        </is>
      </c>
      <c r="K2" s="34" t="inlineStr">
        <is>
          <t>No</t>
        </is>
      </c>
      <c r="L2" s="34" t="inlineStr">
        <is>
          <t>FN</t>
        </is>
      </c>
      <c r="M2" s="34" t="inlineStr">
        <is>
          <t>Unmatched alert</t>
        </is>
      </c>
      <c r="N2" s="34" t="inlineStr">
        <is>
          <t>False alarm</t>
        </is>
      </c>
      <c r="O2" s="34" t="inlineStr">
        <is>
          <t>Validation</t>
        </is>
      </c>
    </row>
    <row r="3" ht="15" customHeight="1" s="35">
      <c r="A3" s="34" t="inlineStr">
        <is>
          <t>Parking Obstruction</t>
        </is>
      </c>
      <c r="B3" s="34" t="inlineStr">
        <is>
          <t>Drinking</t>
        </is>
      </c>
      <c r="C3" s="34" t="inlineStr">
        <is>
          <t>No violation</t>
        </is>
      </c>
      <c r="D3" s="34" t="inlineStr">
        <is>
          <t>Far</t>
        </is>
      </c>
      <c r="E3" s="34" t="inlineStr">
        <is>
          <t>Night</t>
        </is>
      </c>
      <c r="F3" s="34" t="inlineStr">
        <is>
          <t>Re-record</t>
        </is>
      </c>
      <c r="G3" s="34" t="inlineStr">
        <is>
          <t>Running</t>
        </is>
      </c>
      <c r="H3" s="34" t="inlineStr">
        <is>
          <t>Likely</t>
        </is>
      </c>
      <c r="I3" s="34" t="inlineStr">
        <is>
          <t>Not run</t>
        </is>
      </c>
      <c r="J3" s="34" t="inlineStr">
        <is>
          <t>Lighting / glare</t>
        </is>
      </c>
      <c r="L3" s="34" t="inlineStr">
        <is>
          <t>TN</t>
        </is>
      </c>
      <c r="N3" s="34" t="inlineStr">
        <is>
          <t>Unscripted – false alarm</t>
        </is>
      </c>
    </row>
    <row r="4" ht="15" customHeight="1" s="35">
      <c r="A4" s="34" t="inlineStr">
        <is>
          <t>Holdup</t>
        </is>
      </c>
      <c r="B4" s="34" t="inlineStr">
        <is>
          <t>Parking Obstruction</t>
        </is>
      </c>
      <c r="G4" s="34" t="inlineStr">
        <is>
          <t>Done</t>
        </is>
      </c>
      <c r="J4" s="34" t="inlineStr">
        <is>
          <t>Track ID switch</t>
        </is>
      </c>
      <c r="L4" s="34" t="inlineStr">
        <is>
          <t>FP</t>
        </is>
      </c>
      <c r="N4" s="34" t="inlineStr">
        <is>
          <t>Unscripted – real violation</t>
        </is>
      </c>
    </row>
    <row r="5" ht="15" customHeight="1" s="35">
      <c r="B5" s="34" t="inlineStr">
        <is>
          <t>Holdup</t>
        </is>
      </c>
      <c r="G5" s="34" t="inlineStr">
        <is>
          <t>Failed</t>
        </is>
      </c>
      <c r="J5" s="34" t="inlineStr">
        <is>
          <t>Alert too late</t>
        </is>
      </c>
      <c r="L5" s="34" t="inlineStr">
        <is>
          <t>Duplicate</t>
        </is>
      </c>
      <c r="N5" s="34" t="inlineStr">
        <is>
          <t>Late (real act)</t>
        </is>
      </c>
    </row>
    <row r="6" ht="15" customHeight="1" s="35">
      <c r="G6" s="34" t="inlineStr">
        <is>
          <t>Needs action start</t>
        </is>
      </c>
      <c r="J6" s="34" t="inlineStr">
        <is>
          <t>Wrong type</t>
        </is>
      </c>
      <c r="L6" s="34" t="inlineStr">
        <is>
          <t>Late</t>
        </is>
      </c>
    </row>
    <row r="7" ht="15" customHeight="1" s="35">
      <c r="J7" s="34" t="inlineStr">
        <is>
          <t>Look-alike object</t>
        </is>
      </c>
      <c r="L7" s="34" t="inlineStr">
        <is>
          <t>Excluded</t>
        </is>
      </c>
    </row>
    <row r="8" ht="15" customHeight="1" s="35">
      <c r="J8" s="34" t="inlineStr">
        <is>
          <t>Crowd</t>
        </is>
      </c>
      <c r="L8" s="34" t="inlineStr">
        <is>
          <t>Needs tag</t>
        </is>
      </c>
    </row>
    <row r="9" ht="15" customHeight="1" s="35">
      <c r="J9" s="34" t="inlineStr">
        <is>
          <t>Other</t>
        </is>
      </c>
      <c r="L9" s="34" t="inlineStr">
        <is>
          <t>Needs start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2026-10-17T14:53:13Z</dcterms:created>
  <dcterms:modified xmlns:dcterms="http://purl.org/dc/terms/" xmlns:xsi="http://www.w3.org/2001/XMLSchema-instance" xsi:type="dcterms:W3CDTF">2026-10-17T16:25:25Z</dcterms:modified>
  <cp:revision>0</cp:revision>
</cp:coreProperties>
</file>